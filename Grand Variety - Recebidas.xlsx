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Clientes G\GRAND VARIETY LTDA\FISCAL\FEDERAL\2026\07-2026\"/>
    </mc:Choice>
  </mc:AlternateContent>
  <xr:revisionPtr revIDLastSave="0" documentId="13_ncr:1_{AC9C997F-74B4-42F7-B012-CD2496BE0A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latório Detalhado por Nota" sheetId="1" r:id="rId1"/>
    <sheet name="Planilha1" sheetId="3" r:id="rId2"/>
    <sheet name="Relatório Detalhado por Produto" sheetId="2" r:id="rId3"/>
  </sheets>
  <calcPr calcId="191029"/>
  <pivotCaches>
    <pivotCache cacheId="7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2" i="2"/>
</calcChain>
</file>

<file path=xl/sharedStrings.xml><?xml version="1.0" encoding="utf-8"?>
<sst xmlns="http://schemas.openxmlformats.org/spreadsheetml/2006/main" count="552" uniqueCount="213">
  <si>
    <t>Status</t>
  </si>
  <si>
    <t>Data de Emissão</t>
  </si>
  <si>
    <t>Espécie</t>
  </si>
  <si>
    <t>Número Nota</t>
  </si>
  <si>
    <t>Série da nota</t>
  </si>
  <si>
    <t>Tipo de operação</t>
  </si>
  <si>
    <t>Natureza da Operação</t>
  </si>
  <si>
    <t>Chave de Acesso Nota</t>
  </si>
  <si>
    <t>Emitente</t>
  </si>
  <si>
    <t>CNPJ/CPF - Emitente</t>
  </si>
  <si>
    <t>IE - Emitente</t>
  </si>
  <si>
    <t>CRT - Emitente</t>
  </si>
  <si>
    <t>UF - Emitente</t>
  </si>
  <si>
    <t>Destinatário</t>
  </si>
  <si>
    <t>CNPJ/CPF - Destinatário</t>
  </si>
  <si>
    <t>IE - Destinatário</t>
  </si>
  <si>
    <t>UF - Destinatário</t>
  </si>
  <si>
    <t>Nome da Transpotadora</t>
  </si>
  <si>
    <t>CNPJ/CPF - Transportadora</t>
  </si>
  <si>
    <t>Valor contábil</t>
  </si>
  <si>
    <t>Base de ICMS</t>
  </si>
  <si>
    <t>Valor do ICMS</t>
  </si>
  <si>
    <t>Valor do PIS</t>
  </si>
  <si>
    <t>Valor do COFINS</t>
  </si>
  <si>
    <t>Valor CBS</t>
  </si>
  <si>
    <t>Valor IBS Estadual</t>
  </si>
  <si>
    <t>Valor IBS Municipal</t>
  </si>
  <si>
    <t>Valor do IPI</t>
  </si>
  <si>
    <t>Valor S.T.</t>
  </si>
  <si>
    <t>Valor do FCP da UF de destino</t>
  </si>
  <si>
    <t>Valor de ICMS para a UF de destino</t>
  </si>
  <si>
    <t>FCP S.T.</t>
  </si>
  <si>
    <t>Descrição</t>
  </si>
  <si>
    <t>Alertas</t>
  </si>
  <si>
    <t>Manisfestação</t>
  </si>
  <si>
    <t>Autorizada</t>
  </si>
  <si>
    <t>03/07/2026</t>
  </si>
  <si>
    <t>NFe</t>
  </si>
  <si>
    <t>3</t>
  </si>
  <si>
    <t>Saida</t>
  </si>
  <si>
    <t>VENDA DE MERCADORIA ADQUIRIDA OU RECEBIDA DE TERCEIROS</t>
  </si>
  <si>
    <t>33260738462550000103550030000031011260000032</t>
  </si>
  <si>
    <t>JF COMERCIO INTERNACIONAL LTDA</t>
  </si>
  <si>
    <t>38.462.550/0001-03</t>
  </si>
  <si>
    <t>11824641</t>
  </si>
  <si>
    <t>RJ</t>
  </si>
  <si>
    <t>GRAND VARIETY LTDA</t>
  </si>
  <si>
    <t>46.733.602/0001-59</t>
  </si>
  <si>
    <t>127692242119</t>
  </si>
  <si>
    <t>SP</t>
  </si>
  <si>
    <t>EXPRESSO M2000</t>
  </si>
  <si>
    <t>26.341.222/0003-23</t>
  </si>
  <si>
    <t>VALOR APROXIMADO DOS TRIBUTOS R$ 440.75 LEI DA TRANSPARENCIA - 12.741/12PEDIDO:000003181PE      EMPRESA ENQUADRADA NO REGIME TRIBUTARIO DIFERENCIADO DE QUE TRATA A LEI 9.025, CONFORME PROCESSO NO SEI-220010 000440 2023</t>
  </si>
  <si>
    <t>04/07/2026</t>
  </si>
  <si>
    <t>2</t>
  </si>
  <si>
    <t>VENDA DE MERCADORIAS</t>
  </si>
  <si>
    <t>35260743465438000158550020033448981889972867</t>
  </si>
  <si>
    <t>ALPHA ELETRONICOS LTDA</t>
  </si>
  <si>
    <t>43.465.438/0001-58</t>
  </si>
  <si>
    <t>407872248117</t>
  </si>
  <si>
    <t>EBAZAR.COM.BR LTDA</t>
  </si>
  <si>
    <t>03.007.331/0122-39</t>
  </si>
  <si>
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3344897, EMITIDA EM 04/07/2026, SERIE 2. VALOR APROXIMADO DOS TRIBUTOS IBPT R$5,90.</t>
  </si>
  <si>
    <t>06/07/2026</t>
  </si>
  <si>
    <t>1</t>
  </si>
  <si>
    <t>VENDAS</t>
  </si>
  <si>
    <t>35260710480144000146550010000548861256694368</t>
  </si>
  <si>
    <t>BIG FORTUNE COMERCIO DE PRESENTES LTDA.</t>
  </si>
  <si>
    <t>10.480.144/0001-46</t>
  </si>
  <si>
    <t>148396466117</t>
  </si>
  <si>
    <t>-</t>
  </si>
  <si>
    <t>09/07/2026</t>
  </si>
  <si>
    <t>0</t>
  </si>
  <si>
    <t>6102 VENDA DE MERCADORIA ADQUIRIDA</t>
  </si>
  <si>
    <t>42260714471476000204550000000311611175071659</t>
  </si>
  <si>
    <t>DL FESTAS COMERCIAL LTDA</t>
  </si>
  <si>
    <t>14.471.476/0002-04</t>
  </si>
  <si>
    <t>257436758</t>
  </si>
  <si>
    <t>SC</t>
  </si>
  <si>
    <t>CDC CARGAS E LOGISTICA LTDA</t>
  </si>
  <si>
    <t>44.210.249/0001-05</t>
  </si>
  <si>
    <t>PEDIDO 38022 CUBAGEM     1,58</t>
  </si>
  <si>
    <t>13/07/2026</t>
  </si>
  <si>
    <t>VENDA DE MERCADORIAS FORA ESTADO</t>
  </si>
  <si>
    <t>42260742830750000211550020000079871000939219</t>
  </si>
  <si>
    <t>WEBRING IMPORT LTDA</t>
  </si>
  <si>
    <t>42.830.750/0002-11</t>
  </si>
  <si>
    <t>261626442</t>
  </si>
  <si>
    <t>SCHREIBER LOGISTICA LTDA</t>
  </si>
  <si>
    <t>10.349.430/0005-09</t>
  </si>
  <si>
    <t>CUBAGEM: 0.48906000 M3 ; FONE TRANSP.: 47 3842-0244 ; - REP.: 466-INSTAGRAM - NIX HOUS ;</t>
  </si>
  <si>
    <t>17/07/2026</t>
  </si>
  <si>
    <t>33260738462550000103550030000032201260000033</t>
  </si>
  <si>
    <t>VALOR APROXIMADO DOS TRIBUTOS R$ 309.82 LEI DA TRANSPARENCIA - 12.741/12PEDIDO:000003304PE      EMPRESA ENQUADRADA NO REGIME TRIBUTARIO DIFERENCIADO DE QUE TRATA A LEI 9.025, CONFORME PROCESSO NO SEI-220010 000440 2023</t>
  </si>
  <si>
    <t>20/07/2026</t>
  </si>
  <si>
    <t>VENDA DE MERCADORIA</t>
  </si>
  <si>
    <t>35260763939512000138550010000036871763022742</t>
  </si>
  <si>
    <t>L B FIORETTI LTDA</t>
  </si>
  <si>
    <t>63.939.512/0001-38</t>
  </si>
  <si>
    <t>157066084113</t>
  </si>
  <si>
    <t>TOTAL APROXIMADO DE TRIBUTOS: R$ 2.177,82 40,33%  FEDERAIS R$ 1.205,82 22,33%  ESTADUAIS R$ 972,00 18,00% . FONTE IBPT.</t>
  </si>
  <si>
    <t>33260738462550000103550030000032511260000030</t>
  </si>
  <si>
    <t>VALOR APROXIMADO DOS TRIBUTOS R$ 1271.87 LEI DA TRANSPARENCIA - 12.741/12PEDIDO:000003328PE      EMPRESA ENQUADRADA NO REGIME TRIBUTARIO DIFERENCIADO DE QUE TRATA A LEI 9.025, CONFORME PROCESSO NO SEI-220010 000440 2023</t>
  </si>
  <si>
    <t>VENDA DE MERCADORIAS DE TERCEIROS PARA CONSUMIDOR FINAL</t>
  </si>
  <si>
    <t>35260709437281000119550030000018891608921420</t>
  </si>
  <si>
    <t>R2 COMERCIAL DE PLASTICOS, EPI E INFORMATICA LTDA</t>
  </si>
  <si>
    <t>09.437.281/0001-19</t>
  </si>
  <si>
    <t>148046711111</t>
  </si>
  <si>
    <t>DOCUMENTO EMITIDO POR ME OU EPP OPTANTE PELO SIMPLES NACIONAL, NAO GERA DIREITO DE CREDITO FISCAL DE IPI. PERMITE O APROVEITAMENTO DO CREDITO DE ICMS NO VALOR DE R$4,87 CORRESPONDENTE A ALIQUOTA DE 2,7500% NOS TERMOS ADO ARTIGO 23 DA LC1 23/2006.BR /PREZADOA CLIENTENOME,BR /BR /AGRADECEMOS SEU PEDIDO N PEDIDONUMERO, REALIZADO EM PEDIDODATA.BR /BR /POR FAVOR, CONFIRME O RECEBIMENTO DA MERCADORIA NO ATO DA ENTREGA OU RETIRADA, CONFERINDO QUANTIDADE E QUALIDADE DOS PRODUTOS.BR /BR /EM CASO DE DUVIDAS OU DIVERGENCIAS, ENTRE EM CONTATO CONOSCO PELO WHATSAPP 11 91304-3339 ANTES DE ABRIR QUALQUER RECLAMACAO.BR /BR /ATENCIOSAMENTE,  BR /EQUIPE R2 PLASTICOSBR /N PEDIDO: 6855</t>
  </si>
  <si>
    <t>Valor Contábil</t>
  </si>
  <si>
    <t>Cód. prod.</t>
  </si>
  <si>
    <t>Categoria</t>
  </si>
  <si>
    <t>NCM</t>
  </si>
  <si>
    <t>EAN</t>
  </si>
  <si>
    <t>CEST</t>
  </si>
  <si>
    <t>EX</t>
  </si>
  <si>
    <t>CFOP</t>
  </si>
  <si>
    <t>Origem</t>
  </si>
  <si>
    <t>CST</t>
  </si>
  <si>
    <t>CSOSN</t>
  </si>
  <si>
    <t>ClassTrib</t>
  </si>
  <si>
    <t>Valor do produto</t>
  </si>
  <si>
    <t>Quantidade</t>
  </si>
  <si>
    <t>Unidade</t>
  </si>
  <si>
    <t>Desconto</t>
  </si>
  <si>
    <t>Frete</t>
  </si>
  <si>
    <t>Despesas acessórias</t>
  </si>
  <si>
    <t>Alíquota de ICMS</t>
  </si>
  <si>
    <t>Alíquota de ICMS Simples Nacional</t>
  </si>
  <si>
    <t>Valor do ICMS Simples Nacional</t>
  </si>
  <si>
    <t>Base de ICMS ST</t>
  </si>
  <si>
    <t>Alíquota do ICMS ST</t>
  </si>
  <si>
    <t>Valor do ICMS ST</t>
  </si>
  <si>
    <t>ICMS Retido</t>
  </si>
  <si>
    <t>CST IPI</t>
  </si>
  <si>
    <t>Base de IPI</t>
  </si>
  <si>
    <t>Alíquota de IPI</t>
  </si>
  <si>
    <t>CST PIS</t>
  </si>
  <si>
    <t>Base de PIS</t>
  </si>
  <si>
    <t>Alíquota de PIS</t>
  </si>
  <si>
    <t>CST COFINS</t>
  </si>
  <si>
    <t>Base de COFINS</t>
  </si>
  <si>
    <t>Alíquota de COFINS</t>
  </si>
  <si>
    <t>Base de CBS</t>
  </si>
  <si>
    <t>Alíquota de CBS</t>
  </si>
  <si>
    <t>Valor do CBS</t>
  </si>
  <si>
    <t>Base de IBS</t>
  </si>
  <si>
    <t>Alíquota de IBS Estadual</t>
  </si>
  <si>
    <t>Alíquota de IBS Municipal</t>
  </si>
  <si>
    <t>Valor do IBS Estadual</t>
  </si>
  <si>
    <t>Valor do IBS Municipal</t>
  </si>
  <si>
    <t>521000</t>
  </si>
  <si>
    <t>VARAO BASTAO, RETRATIL, PARA CORTINA, MATERIAL PLASTICO PVC, MED. 110 -200 CM</t>
  </si>
  <si>
    <t>Revenda</t>
  </si>
  <si>
    <t>73239400</t>
  </si>
  <si>
    <t>7908623502402</t>
  </si>
  <si>
    <t>2806100</t>
  </si>
  <si>
    <t>00</t>
  </si>
  <si>
    <t>UN</t>
  </si>
  <si>
    <t>524500</t>
  </si>
  <si>
    <t>CESTO ORGANIZADOR, MATERIAL TEXTIL SINTETICO, 100% POLIESTER</t>
  </si>
  <si>
    <t>63079090</t>
  </si>
  <si>
    <t>7892451650629</t>
  </si>
  <si>
    <t>526200</t>
  </si>
  <si>
    <t>SACA PARA LAVAR TENIS</t>
  </si>
  <si>
    <t>7898968798182</t>
  </si>
  <si>
    <t>523700</t>
  </si>
  <si>
    <t>ROUPEIRO COM SEIS PRATELEIRAS, MATERIAL ESTRURURA METALICA (FERRO)</t>
  </si>
  <si>
    <t>94032090</t>
  </si>
  <si>
    <t>7893481455772</t>
  </si>
  <si>
    <t>BLÇ</t>
  </si>
  <si>
    <t>Balanca De Cozinha Digital Balanca Digital Sf-400 Davely</t>
  </si>
  <si>
    <t>Uso e Consumo</t>
  </si>
  <si>
    <t>84231000</t>
  </si>
  <si>
    <t>7896543897398</t>
  </si>
  <si>
    <t>000001</t>
  </si>
  <si>
    <t>BM-F1146</t>
  </si>
  <si>
    <t>SELADORA MANUAL 300MM - TENSAO: AC 220V - 8 NIVEIS DE AJUSTE PRODUTOS ACONDICIONADOS EM 20 CAIXAS, CONTENDO 10 PECAS POR</t>
  </si>
  <si>
    <t>84224090</t>
  </si>
  <si>
    <t>SEM GTIN</t>
  </si>
  <si>
    <t>2101500</t>
  </si>
  <si>
    <t>PCS</t>
  </si>
  <si>
    <t>TOP1430</t>
  </si>
  <si>
    <t>TABUA P  PETISCO 6 DIVISORIAS 29X29CM CX C 30</t>
  </si>
  <si>
    <t>44191900</t>
  </si>
  <si>
    <t>7908475132772</t>
  </si>
  <si>
    <t>PC</t>
  </si>
  <si>
    <t>NX130</t>
  </si>
  <si>
    <t>ESPREMEDOR DE ALHO PRO - ACO INOX - CX/48</t>
  </si>
  <si>
    <t>82055100</t>
  </si>
  <si>
    <t>7908871000606</t>
  </si>
  <si>
    <t>SAC0516334</t>
  </si>
  <si>
    <t>SACO TENIS</t>
  </si>
  <si>
    <t>39232190</t>
  </si>
  <si>
    <t>FSP300</t>
  </si>
  <si>
    <t>Filme Stretch Preto 500x25</t>
  </si>
  <si>
    <t>39201099</t>
  </si>
  <si>
    <t>101</t>
  </si>
  <si>
    <t>Bobina</t>
  </si>
  <si>
    <t>520900</t>
  </si>
  <si>
    <t>VARAO BASTAO, RETRATIL, PARA CORTINA, MATERIAL PLASTICO PVC, MED. 70-120 CM</t>
  </si>
  <si>
    <t>7908623502396</t>
  </si>
  <si>
    <t>521100</t>
  </si>
  <si>
    <t>VARAO BASTAO, RETRATIL, PARA CORTINA, MATERIAL PLASTICO PVC, MED. 140-260 CM</t>
  </si>
  <si>
    <t>7908623502419</t>
  </si>
  <si>
    <t>VALOR TOTAL</t>
  </si>
  <si>
    <t>Rótulos de Linha</t>
  </si>
  <si>
    <t>Total Geral</t>
  </si>
  <si>
    <t>Soma de VALOR TOTAL</t>
  </si>
  <si>
    <t>Soma de Valor do ICMS</t>
  </si>
  <si>
    <t>Soma de Valor do ICMS ST</t>
  </si>
  <si>
    <t>Soma de Valor do IPI</t>
  </si>
  <si>
    <t>Soma de Valor do ICMS Simples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</si>
</sst>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1">
    <cellStyle name="Normal" xfId="0" builtinId="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TAX CONTABIL" refreshedDate="46224.732201851853" createdVersion="8" refreshedVersion="8" minRefreshableVersion="3" recordCount="14" xr:uid="{46E7BDCC-E0C7-453E-9097-F2754A42441B}">
  <cacheSource type="worksheet">
    <worksheetSource ref="A1:BK15" sheet="Relatório Detalhado por Produto"/>
  </cacheSource>
  <cacheFields count="63">
    <cacheField name="Status" numFmtId="0">
      <sharedItems count="1">
        <s v="Autorizada"/>
      </sharedItems>
    </cacheField>
    <cacheField name="Data de Emissão" numFmtId="0">
      <sharedItems/>
    </cacheField>
    <cacheField name="Espécie" numFmtId="0">
      <sharedItems/>
    </cacheField>
    <cacheField name="Número Nota" numFmtId="0">
      <sharedItems containsSemiMixedTypes="0" containsString="0" containsNumber="1" containsInteger="1" minValue="1889" maxValue="3344898"/>
    </cacheField>
    <cacheField name="Série da nota" numFmtId="0">
      <sharedItems/>
    </cacheField>
    <cacheField name="Tipo de operação" numFmtId="0">
      <sharedItems/>
    </cacheField>
    <cacheField name="Natureza da Operação" numFmtId="0">
      <sharedItems/>
    </cacheField>
    <cacheField name="Chave de Acesso Nota" numFmtId="0">
      <sharedItems/>
    </cacheField>
    <cacheField name="CNPJ/CPF - Emitente" numFmtId="0">
      <sharedItems/>
    </cacheField>
    <cacheField name="UF - Emitente" numFmtId="0">
      <sharedItems/>
    </cacheField>
    <cacheField name="CNPJ/CPF - Destinatário" numFmtId="0">
      <sharedItems/>
    </cacheField>
    <cacheField name="UF - Destinatário" numFmtId="0">
      <sharedItems/>
    </cacheField>
    <cacheField name="CNPJ/CPF - Transportadora" numFmtId="0">
      <sharedItems/>
    </cacheField>
    <cacheField name="Valor Contábil" numFmtId="0">
      <sharedItems containsString="0" containsBlank="1" containsNumber="1" minValue="19.989999999999998" maxValue="10339.299999999999"/>
    </cacheField>
    <cacheField name="Cód. prod." numFmtId="0">
      <sharedItems/>
    </cacheField>
    <cacheField name="Descrição" numFmtId="0">
      <sharedItems/>
    </cacheField>
    <cacheField name="Categoria" numFmtId="0">
      <sharedItems count="2">
        <s v="Revenda"/>
        <s v="Uso e Consumo"/>
      </sharedItems>
    </cacheField>
    <cacheField name="NCM" numFmtId="0">
      <sharedItems/>
    </cacheField>
    <cacheField name="EAN" numFmtId="0">
      <sharedItems/>
    </cacheField>
    <cacheField name="CEST" numFmtId="0">
      <sharedItems containsBlank="1"/>
    </cacheField>
    <cacheField name="EX" numFmtId="0">
      <sharedItems containsNonDate="0" containsString="0" containsBlank="1"/>
    </cacheField>
    <cacheField name="CFOP" numFmtId="0">
      <sharedItems containsSemiMixedTypes="0" containsString="0" containsNumber="1" containsInteger="1" minValue="5102" maxValue="6102" count="3">
        <n v="6102"/>
        <n v="5106"/>
        <n v="5102"/>
      </sharedItems>
    </cacheField>
    <cacheField name="Origem" numFmtId="0">
      <sharedItems containsSemiMixedTypes="0" containsString="0" containsNumber="1" containsInteger="1" minValue="0" maxValue="2"/>
    </cacheField>
    <cacheField name="CST" numFmtId="0">
      <sharedItems containsBlank="1"/>
    </cacheField>
    <cacheField name="CSOSN" numFmtId="0">
      <sharedItems containsBlank="1"/>
    </cacheField>
    <cacheField name="ClassTrib" numFmtId="0">
      <sharedItems containsBlank="1"/>
    </cacheField>
    <cacheField name="Valor do produto" numFmtId="0">
      <sharedItems containsSemiMixedTypes="0" containsString="0" containsNumber="1" minValue="19.989999999999998" maxValue="10339.299999999999"/>
    </cacheField>
    <cacheField name="VALOR TOTAL" numFmtId="0">
      <sharedItems containsSemiMixedTypes="0" containsString="0" containsNumber="1" minValue="19.989999999999998" maxValue="10339.299999999999"/>
    </cacheField>
    <cacheField name="Quantidade" numFmtId="0">
      <sharedItems containsSemiMixedTypes="0" containsString="0" containsNumber="1" containsInteger="1" minValue="1" maxValue="1320"/>
    </cacheField>
    <cacheField name="Unidade" numFmtId="0">
      <sharedItems/>
    </cacheField>
    <cacheField name="Desconto" numFmtId="0">
      <sharedItems containsSemiMixedTypes="0" containsString="0" containsNumber="1" containsInteger="1" minValue="0" maxValue="0"/>
    </cacheField>
    <cacheField name="Frete" numFmtId="0">
      <sharedItems containsSemiMixedTypes="0" containsString="0" containsNumber="1" containsInteger="1" minValue="0" maxValue="0"/>
    </cacheField>
    <cacheField name="Despesas acessórias" numFmtId="0">
      <sharedItems containsSemiMixedTypes="0" containsString="0" containsNumber="1" containsInteger="1" minValue="0" maxValue="0"/>
    </cacheField>
    <cacheField name="Base de ICMS" numFmtId="0">
      <sharedItems containsSemiMixedTypes="0" containsString="0" containsNumber="1" minValue="0" maxValue="10339.299999999999"/>
    </cacheField>
    <cacheField name="Alíquota de ICMS" numFmtId="0">
      <sharedItems containsSemiMixedTypes="0" containsString="0" containsNumber="1" containsInteger="1" minValue="0" maxValue="18"/>
    </cacheField>
    <cacheField name="Valor do ICMS" numFmtId="0">
      <sharedItems containsSemiMixedTypes="0" containsString="0" containsNumber="1" minValue="0" maxValue="972"/>
    </cacheField>
    <cacheField name="Alíquota de ICMS Simples Nacional" numFmtId="0">
      <sharedItems containsSemiMixedTypes="0" containsString="0" containsNumber="1" minValue="0" maxValue="2.75"/>
    </cacheField>
    <cacheField name="Valor do ICMS Simples Nacional" numFmtId="0">
      <sharedItems containsSemiMixedTypes="0" containsString="0" containsNumber="1" minValue="0" maxValue="4.87"/>
    </cacheField>
    <cacheField name="Base de ICMS ST" numFmtId="0">
      <sharedItems containsSemiMixedTypes="0" containsString="0" containsNumber="1" containsInteger="1" minValue="0" maxValue="0"/>
    </cacheField>
    <cacheField name="Alíquota do ICMS ST" numFmtId="0">
      <sharedItems containsSemiMixedTypes="0" containsString="0" containsNumber="1" containsInteger="1" minValue="0" maxValue="0"/>
    </cacheField>
    <cacheField name="Valor do ICMS ST" numFmtId="0">
      <sharedItems containsSemiMixedTypes="0" containsString="0" containsNumber="1" containsInteger="1" minValue="0" maxValue="0"/>
    </cacheField>
    <cacheField name="ICMS Retido" numFmtId="0">
      <sharedItems containsSemiMixedTypes="0" containsString="0" containsNumber="1" containsInteger="1" minValue="0" maxValue="0"/>
    </cacheField>
    <cacheField name="Valor de ICMS para a UF de destino" numFmtId="0">
      <sharedItems containsSemiMixedTypes="0" containsString="0" containsNumber="1" containsInteger="1" minValue="0" maxValue="0"/>
    </cacheField>
    <cacheField name="CST IPI" numFmtId="0">
      <sharedItems containsSemiMixedTypes="0" containsString="0" containsNumber="1" containsInteger="1" minValue="50" maxValue="53"/>
    </cacheField>
    <cacheField name="Base de IPI" numFmtId="0">
      <sharedItems containsSemiMixedTypes="0" containsString="0" containsNumber="1" minValue="0" maxValue="8749.73"/>
    </cacheField>
    <cacheField name="Alíquota de IPI" numFmtId="0">
      <sharedItems containsSemiMixedTypes="0" containsString="0" containsNumber="1" minValue="0" maxValue="6.5"/>
    </cacheField>
    <cacheField name="Valor do IPI" numFmtId="0">
      <sharedItems containsSemiMixedTypes="0" containsString="0" containsNumber="1" minValue="0" maxValue="454.99"/>
    </cacheField>
    <cacheField name="CST PIS" numFmtId="0">
      <sharedItems containsSemiMixedTypes="0" containsString="0" containsNumber="1" containsInteger="1" minValue="1" maxValue="8"/>
    </cacheField>
    <cacheField name="Base de PIS" numFmtId="0">
      <sharedItems containsSemiMixedTypes="0" containsString="0" containsNumber="1" minValue="0" maxValue="9925.73"/>
    </cacheField>
    <cacheField name="Alíquota de PIS" numFmtId="0">
      <sharedItems containsSemiMixedTypes="0" containsString="0" containsNumber="1" minValue="0" maxValue="1.65"/>
    </cacheField>
    <cacheField name="Valor do PIS" numFmtId="0">
      <sharedItems containsSemiMixedTypes="0" containsString="0" containsNumber="1" minValue="0" maxValue="64.52"/>
    </cacheField>
    <cacheField name="CST COFINS" numFmtId="0">
      <sharedItems containsSemiMixedTypes="0" containsString="0" containsNumber="1" containsInteger="1" minValue="1" maxValue="8"/>
    </cacheField>
    <cacheField name="Base de COFINS" numFmtId="0">
      <sharedItems containsSemiMixedTypes="0" containsString="0" containsNumber="1" minValue="0" maxValue="9925.73"/>
    </cacheField>
    <cacheField name="Alíquota de COFINS" numFmtId="0">
      <sharedItems containsSemiMixedTypes="0" containsString="0" containsNumber="1" minValue="0" maxValue="7.6"/>
    </cacheField>
    <cacheField name="Valor do COFINS" numFmtId="0">
      <sharedItems containsSemiMixedTypes="0" containsString="0" containsNumber="1" minValue="0" maxValue="297.77"/>
    </cacheField>
    <cacheField name="Base de CBS" numFmtId="0">
      <sharedItems containsSemiMixedTypes="0" containsString="0" containsNumber="1" minValue="0" maxValue="9563.44"/>
    </cacheField>
    <cacheField name="Alíquota de CBS" numFmtId="0">
      <sharedItems containsSemiMixedTypes="0" containsString="0" containsNumber="1" minValue="0" maxValue="0.9"/>
    </cacheField>
    <cacheField name="Valor do CBS" numFmtId="0">
      <sharedItems containsSemiMixedTypes="0" containsString="0" containsNumber="1" minValue="0" maxValue="86.07"/>
    </cacheField>
    <cacheField name="Base de IBS" numFmtId="0">
      <sharedItems containsSemiMixedTypes="0" containsString="0" containsNumber="1" minValue="0" maxValue="9563.44"/>
    </cacheField>
    <cacheField name="Alíquota de IBS Estadual" numFmtId="0">
      <sharedItems containsSemiMixedTypes="0" containsString="0" containsNumber="1" minValue="0" maxValue="0.1"/>
    </cacheField>
    <cacheField name="Alíquota de IBS Municipal" numFmtId="0">
      <sharedItems containsSemiMixedTypes="0" containsString="0" containsNumber="1" containsInteger="1" minValue="0" maxValue="0"/>
    </cacheField>
    <cacheField name="Valor do IBS Estadual" numFmtId="0">
      <sharedItems containsSemiMixedTypes="0" containsString="0" containsNumber="1" minValue="0" maxValue="9.56"/>
    </cacheField>
    <cacheField name="Valor do IBS Municipal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03/07/2026"/>
    <s v="NFe"/>
    <n v="3101"/>
    <s v="3"/>
    <s v="Saida"/>
    <s v="VENDA DE MERCADORIA ADQUIRIDA OU RECEBIDA DE TERCEIROS"/>
    <s v="33260738462550000103550030000031011260000032"/>
    <s v="38.462.550/0001-03"/>
    <s v="RJ"/>
    <s v="46.733.602/0001-59"/>
    <s v="SP"/>
    <s v="26.341.222/0003-23"/>
    <n v="4920.55"/>
    <s v="521000"/>
    <s v="VARAO BASTAO, RETRATIL, PARA CORTINA, MATERIAL PLASTICO PVC, MED. 110 -200 CM"/>
    <x v="0"/>
    <s v="73239400"/>
    <s v="7908623502402"/>
    <s v="2806100"/>
    <m/>
    <x v="0"/>
    <n v="1"/>
    <s v="00"/>
    <m/>
    <m/>
    <n v="472.8"/>
    <n v="503.53000000000003"/>
    <n v="48"/>
    <s v="UN"/>
    <n v="0"/>
    <n v="0"/>
    <n v="0"/>
    <n v="472.8"/>
    <n v="4"/>
    <n v="18.91"/>
    <n v="0"/>
    <n v="0"/>
    <n v="0"/>
    <n v="0"/>
    <n v="0"/>
    <n v="0"/>
    <n v="0"/>
    <n v="50"/>
    <n v="472.8"/>
    <n v="6.5"/>
    <n v="30.73"/>
    <n v="1"/>
    <n v="472.8"/>
    <n v="0.65"/>
    <n v="3.07"/>
    <n v="1"/>
    <n v="472.8"/>
    <n v="3"/>
    <n v="14.18"/>
    <n v="0"/>
    <n v="0"/>
    <n v="0"/>
    <n v="0"/>
    <n v="0"/>
    <n v="0"/>
    <n v="0"/>
    <n v="0"/>
  </r>
  <r>
    <x v="0"/>
    <s v="03/07/2026"/>
    <s v="NFe"/>
    <n v="3101"/>
    <s v="3"/>
    <s v="Saida"/>
    <s v="VENDA DE MERCADORIA ADQUIRIDA OU RECEBIDA DE TERCEIROS"/>
    <s v="33260738462550000103550030000031011260000032"/>
    <s v="38.462.550/0001-03"/>
    <s v="RJ"/>
    <s v="46.733.602/0001-59"/>
    <s v="SP"/>
    <s v="26.341.222/0003-23"/>
    <m/>
    <s v="524500"/>
    <s v="CESTO ORGANIZADOR, MATERIAL TEXTIL SINTETICO, 100% POLIESTER"/>
    <x v="0"/>
    <s v="63079090"/>
    <s v="7892451650629"/>
    <m/>
    <m/>
    <x v="0"/>
    <n v="1"/>
    <s v="00"/>
    <m/>
    <m/>
    <n v="1560"/>
    <n v="1560"/>
    <n v="120"/>
    <s v="UN"/>
    <n v="0"/>
    <n v="0"/>
    <n v="0"/>
    <n v="1560"/>
    <n v="4"/>
    <n v="62.4"/>
    <n v="0"/>
    <n v="0"/>
    <n v="0"/>
    <n v="0"/>
    <n v="0"/>
    <n v="0"/>
    <n v="0"/>
    <n v="51"/>
    <n v="0"/>
    <n v="0"/>
    <n v="0"/>
    <n v="1"/>
    <n v="1560"/>
    <n v="0.65"/>
    <n v="10.14"/>
    <n v="1"/>
    <n v="1560"/>
    <n v="3"/>
    <n v="46.8"/>
    <n v="0"/>
    <n v="0"/>
    <n v="0"/>
    <n v="0"/>
    <n v="0"/>
    <n v="0"/>
    <n v="0"/>
    <n v="0"/>
  </r>
  <r>
    <x v="0"/>
    <s v="03/07/2026"/>
    <s v="NFe"/>
    <n v="3101"/>
    <s v="3"/>
    <s v="Saida"/>
    <s v="VENDA DE MERCADORIA ADQUIRIDA OU RECEBIDA DE TERCEIROS"/>
    <s v="33260738462550000103550030000031011260000032"/>
    <s v="38.462.550/0001-03"/>
    <s v="RJ"/>
    <s v="46.733.602/0001-59"/>
    <s v="SP"/>
    <s v="26.341.222/0003-23"/>
    <m/>
    <s v="526200"/>
    <s v="SACA PARA LAVAR TENIS"/>
    <x v="0"/>
    <s v="63079090"/>
    <s v="7898968798182"/>
    <m/>
    <m/>
    <x v="0"/>
    <n v="1"/>
    <s v="00"/>
    <m/>
    <m/>
    <n v="1620"/>
    <n v="1620"/>
    <n v="200"/>
    <s v="UN"/>
    <n v="0"/>
    <n v="0"/>
    <n v="0"/>
    <n v="1620"/>
    <n v="4"/>
    <n v="64.8"/>
    <n v="0"/>
    <n v="0"/>
    <n v="0"/>
    <n v="0"/>
    <n v="0"/>
    <n v="0"/>
    <n v="0"/>
    <n v="51"/>
    <n v="0"/>
    <n v="0"/>
    <n v="0"/>
    <n v="1"/>
    <n v="1620"/>
    <n v="0.65"/>
    <n v="10.53"/>
    <n v="1"/>
    <n v="1620"/>
    <n v="3"/>
    <n v="48.6"/>
    <n v="0"/>
    <n v="0"/>
    <n v="0"/>
    <n v="0"/>
    <n v="0"/>
    <n v="0"/>
    <n v="0"/>
    <n v="0"/>
  </r>
  <r>
    <x v="0"/>
    <s v="03/07/2026"/>
    <s v="NFe"/>
    <n v="3101"/>
    <s v="3"/>
    <s v="Saida"/>
    <s v="VENDA DE MERCADORIA ADQUIRIDA OU RECEBIDA DE TERCEIROS"/>
    <s v="33260738462550000103550030000031011260000032"/>
    <s v="38.462.550/0001-03"/>
    <s v="RJ"/>
    <s v="46.733.602/0001-59"/>
    <s v="SP"/>
    <s v="26.341.222/0003-23"/>
    <m/>
    <s v="523700"/>
    <s v="ROUPEIRO COM SEIS PRATELEIRAS, MATERIAL ESTRURURA METALICA (FERRO)"/>
    <x v="0"/>
    <s v="94032090"/>
    <s v="7893481455772"/>
    <m/>
    <m/>
    <x v="0"/>
    <n v="1"/>
    <s v="00"/>
    <m/>
    <m/>
    <n v="1198.08"/>
    <n v="1237.02"/>
    <n v="16"/>
    <s v="UN"/>
    <n v="0"/>
    <n v="0"/>
    <n v="0"/>
    <n v="1198.08"/>
    <n v="4"/>
    <n v="47.92"/>
    <n v="0"/>
    <n v="0"/>
    <n v="0"/>
    <n v="0"/>
    <n v="0"/>
    <n v="0"/>
    <n v="0"/>
    <n v="50"/>
    <n v="1198.08"/>
    <n v="3.25"/>
    <n v="38.94"/>
    <n v="1"/>
    <n v="1198.08"/>
    <n v="0.65"/>
    <n v="7.79"/>
    <n v="1"/>
    <n v="1198.08"/>
    <n v="3"/>
    <n v="35.94"/>
    <n v="0"/>
    <n v="0"/>
    <n v="0"/>
    <n v="0"/>
    <n v="0"/>
    <n v="0"/>
    <n v="0"/>
    <n v="0"/>
  </r>
  <r>
    <x v="0"/>
    <s v="04/07/2026"/>
    <s v="NFe"/>
    <n v="3344898"/>
    <s v="2"/>
    <s v="Saida"/>
    <s v="VENDA DE MERCADORIAS"/>
    <s v="35260743465438000158550020033448981889972867"/>
    <s v="43.465.438/0001-58"/>
    <s v="SP"/>
    <s v="46.733.602/0001-59"/>
    <s v="SP"/>
    <s v="03.007.331/0122-39"/>
    <n v="19.989999999999998"/>
    <s v="BLÇ"/>
    <s v="Balanca De Cozinha Digital Balanca Digital Sf-400 Davely"/>
    <x v="1"/>
    <s v="84231000"/>
    <s v="7896543897398"/>
    <m/>
    <m/>
    <x v="1"/>
    <n v="2"/>
    <s v="00"/>
    <m/>
    <s v="000001"/>
    <n v="19.989999999999998"/>
    <n v="19.989999999999998"/>
    <n v="1"/>
    <s v="UN"/>
    <n v="0"/>
    <n v="0"/>
    <n v="0"/>
    <n v="19.989999999999998"/>
    <n v="18"/>
    <n v="3.6"/>
    <n v="0"/>
    <n v="0"/>
    <n v="0"/>
    <n v="0"/>
    <n v="0"/>
    <n v="0"/>
    <n v="0"/>
    <n v="53"/>
    <n v="0"/>
    <n v="0"/>
    <n v="0"/>
    <n v="1"/>
    <n v="16.39"/>
    <n v="1.65"/>
    <n v="0.27"/>
    <n v="1"/>
    <n v="16.39"/>
    <n v="7.6"/>
    <n v="1.25"/>
    <n v="14.87"/>
    <n v="0.9"/>
    <n v="0.13"/>
    <n v="14.87"/>
    <n v="0.1"/>
    <n v="0"/>
    <n v="0.01"/>
    <n v="0"/>
  </r>
  <r>
    <x v="0"/>
    <s v="06/07/2026"/>
    <s v="NFe"/>
    <n v="54886"/>
    <s v="1"/>
    <s v="Saida"/>
    <s v="VENDAS"/>
    <s v="35260710480144000146550010000548861256694368"/>
    <s v="10.480.144/0001-46"/>
    <s v="SP"/>
    <s v="46.733.602/0001-59"/>
    <s v="SP"/>
    <s v="-"/>
    <n v="282.35000000000002"/>
    <s v="BM-F1146"/>
    <s v="SELADORA MANUAL 300MM - TENSAO: AC 220V - 8 NIVEIS DE AJUSTE PRODUTOS ACONDICIONADOS EM 20 CAIXAS, CONTENDO 10 PECAS POR"/>
    <x v="1"/>
    <s v="84224090"/>
    <s v="SEM GTIN"/>
    <s v="2101500"/>
    <m/>
    <x v="2"/>
    <n v="1"/>
    <s v="00"/>
    <m/>
    <s v="000001"/>
    <n v="282.35000000000002"/>
    <n v="282.35000000000002"/>
    <n v="10"/>
    <s v="PCS"/>
    <n v="0"/>
    <n v="0"/>
    <n v="0"/>
    <n v="282.35000000000002"/>
    <n v="18"/>
    <n v="50.82"/>
    <n v="0"/>
    <n v="0"/>
    <n v="0"/>
    <n v="0"/>
    <n v="0"/>
    <n v="0"/>
    <n v="0"/>
    <n v="51"/>
    <n v="0"/>
    <n v="0"/>
    <n v="0"/>
    <n v="1"/>
    <n v="282.35000000000002"/>
    <n v="0.65"/>
    <n v="1.84"/>
    <n v="1"/>
    <n v="282.35000000000002"/>
    <n v="3"/>
    <n v="8.4700000000000006"/>
    <n v="221.22"/>
    <n v="0.9"/>
    <n v="1.99"/>
    <n v="221.22"/>
    <n v="0.1"/>
    <n v="0"/>
    <n v="0.22"/>
    <n v="0"/>
  </r>
  <r>
    <x v="0"/>
    <s v="09/07/2026"/>
    <s v="NFe"/>
    <n v="31161"/>
    <s v="0"/>
    <s v="Saida"/>
    <s v="6102 VENDA DE MERCADORIA ADQUIRIDA"/>
    <s v="42260714471476000204550000000311611175071659"/>
    <s v="14.471.476/0002-04"/>
    <s v="SC"/>
    <s v="46.733.602/0001-59"/>
    <s v="SP"/>
    <s v="44.210.249/0001-05"/>
    <n v="10339.299999999999"/>
    <s v="TOP1430"/>
    <s v="TABUA P  PETISCO 6 DIVISORIAS 29X29CM CX C 30"/>
    <x v="0"/>
    <s v="44191900"/>
    <s v="7908475132772"/>
    <m/>
    <m/>
    <x v="0"/>
    <n v="1"/>
    <s v="00"/>
    <m/>
    <s v="000001"/>
    <n v="10339.299999999999"/>
    <n v="10339.299999999999"/>
    <n v="1320"/>
    <s v="PC"/>
    <n v="0"/>
    <n v="0"/>
    <n v="0"/>
    <n v="10339.299999999999"/>
    <n v="4"/>
    <n v="413.57"/>
    <n v="0"/>
    <n v="0"/>
    <n v="0"/>
    <n v="0"/>
    <n v="0"/>
    <n v="0"/>
    <n v="0"/>
    <n v="51"/>
    <n v="0"/>
    <n v="0"/>
    <n v="0"/>
    <n v="1"/>
    <n v="9925.73"/>
    <n v="0.65"/>
    <n v="64.52"/>
    <n v="1"/>
    <n v="9925.73"/>
    <n v="3"/>
    <n v="297.77"/>
    <n v="9563.44"/>
    <n v="0.9"/>
    <n v="86.07"/>
    <n v="9563.44"/>
    <n v="0.1"/>
    <n v="0"/>
    <n v="9.56"/>
    <n v="0"/>
  </r>
  <r>
    <x v="0"/>
    <s v="13/07/2026"/>
    <s v="NFe"/>
    <n v="7987"/>
    <s v="2"/>
    <s v="Saida"/>
    <s v="VENDA DE MERCADORIAS FORA ESTADO"/>
    <s v="42260742830750000211550020000079871000939219"/>
    <s v="42.830.750/0002-11"/>
    <s v="SC"/>
    <s v="46.733.602/0001-59"/>
    <s v="SP"/>
    <s v="10.349.430/0005-09"/>
    <n v="9204.7199999999993"/>
    <s v="NX130"/>
    <s v="ESPREMEDOR DE ALHO PRO - ACO INOX - CX/48"/>
    <x v="0"/>
    <s v="82055100"/>
    <s v="7908871000606"/>
    <m/>
    <m/>
    <x v="0"/>
    <n v="1"/>
    <s v="00"/>
    <m/>
    <s v="000001"/>
    <n v="8749.73"/>
    <n v="9204.7199999999993"/>
    <n v="912"/>
    <s v="UN"/>
    <n v="0"/>
    <n v="0"/>
    <n v="0"/>
    <n v="8749.73"/>
    <n v="4"/>
    <n v="349.99"/>
    <n v="0"/>
    <n v="0"/>
    <n v="0"/>
    <n v="0"/>
    <n v="0"/>
    <n v="0"/>
    <n v="0"/>
    <n v="50"/>
    <n v="8749.73"/>
    <n v="5.2"/>
    <n v="454.99"/>
    <n v="1"/>
    <n v="8749.73"/>
    <n v="0.65"/>
    <n v="56.87"/>
    <n v="1"/>
    <n v="8749.73"/>
    <n v="3"/>
    <n v="262.49"/>
    <n v="8080.38"/>
    <n v="0.9"/>
    <n v="72.72"/>
    <n v="8080.38"/>
    <n v="0.1"/>
    <n v="0"/>
    <n v="8.08"/>
    <n v="0"/>
  </r>
  <r>
    <x v="0"/>
    <s v="17/07/2026"/>
    <s v="NFe"/>
    <n v="3220"/>
    <s v="3"/>
    <s v="Saida"/>
    <s v="VENDA DE MERCADORIA ADQUIRIDA OU RECEBIDA DE TERCEIROS"/>
    <s v="33260738462550000103550030000032201260000033"/>
    <s v="38.462.550/0001-03"/>
    <s v="RJ"/>
    <s v="46.733.602/0001-59"/>
    <s v="SP"/>
    <s v="26.341.222/0003-23"/>
    <n v="4050"/>
    <s v="526200"/>
    <s v="SACA PARA LAVAR TENIS"/>
    <x v="0"/>
    <s v="63079090"/>
    <s v="7898968798182"/>
    <m/>
    <m/>
    <x v="0"/>
    <n v="1"/>
    <s v="00"/>
    <m/>
    <m/>
    <n v="4050"/>
    <n v="4050"/>
    <n v="500"/>
    <s v="UN"/>
    <n v="0"/>
    <n v="0"/>
    <n v="0"/>
    <n v="4050"/>
    <n v="4"/>
    <n v="162"/>
    <n v="0"/>
    <n v="0"/>
    <n v="0"/>
    <n v="0"/>
    <n v="0"/>
    <n v="0"/>
    <n v="0"/>
    <n v="51"/>
    <n v="0"/>
    <n v="0"/>
    <n v="0"/>
    <n v="1"/>
    <n v="4050"/>
    <n v="0.65"/>
    <n v="26.32"/>
    <n v="1"/>
    <n v="4050"/>
    <n v="3"/>
    <n v="121.5"/>
    <n v="0"/>
    <n v="0"/>
    <n v="0"/>
    <n v="0"/>
    <n v="0"/>
    <n v="0"/>
    <n v="0"/>
    <n v="0"/>
  </r>
  <r>
    <x v="0"/>
    <s v="20/07/2026"/>
    <s v="NFe"/>
    <n v="3687"/>
    <s v="1"/>
    <s v="Saida"/>
    <s v="VENDA DE MERCADORIA"/>
    <s v="35260763939512000138550010000036871763022742"/>
    <s v="63.939.512/0001-38"/>
    <s v="SP"/>
    <s v="46.733.602/0001-59"/>
    <s v="SP"/>
    <s v="-"/>
    <n v="5400"/>
    <s v="SAC0516334"/>
    <s v="SACO TENIS"/>
    <x v="0"/>
    <s v="39232190"/>
    <s v="SEM GTIN"/>
    <m/>
    <m/>
    <x v="2"/>
    <n v="0"/>
    <s v="00"/>
    <m/>
    <s v="000001"/>
    <n v="5400"/>
    <n v="5400"/>
    <n v="600"/>
    <s v="PCS"/>
    <n v="0"/>
    <n v="0"/>
    <n v="0"/>
    <n v="5400"/>
    <n v="18"/>
    <n v="972"/>
    <n v="0"/>
    <n v="0"/>
    <n v="0"/>
    <n v="0"/>
    <n v="0"/>
    <n v="0"/>
    <n v="0"/>
    <n v="53"/>
    <n v="0"/>
    <n v="0"/>
    <n v="0"/>
    <n v="1"/>
    <n v="4428"/>
    <n v="0.65"/>
    <n v="28.78"/>
    <n v="1"/>
    <n v="4428"/>
    <n v="3"/>
    <n v="132.84"/>
    <n v="4266.38"/>
    <n v="0.9"/>
    <n v="38.4"/>
    <n v="4266.38"/>
    <n v="0.1"/>
    <n v="0"/>
    <n v="4.2699999999999996"/>
    <n v="0"/>
  </r>
  <r>
    <x v="0"/>
    <s v="20/07/2026"/>
    <s v="NFe"/>
    <n v="1889"/>
    <s v="3"/>
    <s v="Saida"/>
    <s v="VENDA DE MERCADORIAS DE TERCEIROS PARA CONSUMIDOR FINAL"/>
    <s v="35260709437281000119550030000018891608921420"/>
    <s v="09.437.281/0001-19"/>
    <s v="SP"/>
    <s v="46.733.602/0001-59"/>
    <s v="SP"/>
    <s v="-"/>
    <n v="177"/>
    <s v="FSP300"/>
    <s v="Filme Stretch Preto 500x25"/>
    <x v="1"/>
    <s v="39201099"/>
    <s v="SEM GTIN"/>
    <m/>
    <m/>
    <x v="2"/>
    <n v="0"/>
    <m/>
    <s v="101"/>
    <m/>
    <n v="177"/>
    <n v="177"/>
    <n v="2"/>
    <s v="Bobina"/>
    <n v="0"/>
    <n v="0"/>
    <n v="0"/>
    <n v="0"/>
    <n v="0"/>
    <n v="0"/>
    <n v="2.75"/>
    <n v="4.87"/>
    <n v="0"/>
    <n v="0"/>
    <n v="0"/>
    <n v="0"/>
    <n v="0"/>
    <n v="53"/>
    <n v="0"/>
    <n v="0"/>
    <n v="0"/>
    <n v="8"/>
    <n v="0"/>
    <n v="0"/>
    <n v="0"/>
    <n v="8"/>
    <n v="0"/>
    <n v="0"/>
    <n v="0"/>
    <n v="0"/>
    <n v="0"/>
    <n v="0"/>
    <n v="0"/>
    <n v="0"/>
    <n v="0"/>
    <n v="0"/>
    <n v="0"/>
  </r>
  <r>
    <x v="0"/>
    <s v="20/07/2026"/>
    <s v="NFe"/>
    <n v="3251"/>
    <s v="3"/>
    <s v="Saida"/>
    <s v="VENDA DE MERCADORIA ADQUIRIDA OU RECEBIDA DE TERCEIROS"/>
    <s v="33260738462550000103550030000032511260000030"/>
    <s v="38.462.550/0001-03"/>
    <s v="RJ"/>
    <s v="46.733.602/0001-59"/>
    <s v="SP"/>
    <s v="26.341.222/0003-23"/>
    <n v="9572.85"/>
    <s v="520900"/>
    <s v="VARAO BASTAO, RETRATIL, PARA CORTINA, MATERIAL PLASTICO PVC, MED. 70-120 CM"/>
    <x v="0"/>
    <s v="73239400"/>
    <s v="7908623502396"/>
    <s v="2806100"/>
    <m/>
    <x v="0"/>
    <n v="1"/>
    <s v="00"/>
    <m/>
    <m/>
    <n v="1413"/>
    <n v="1504.84"/>
    <n v="180"/>
    <s v="UN"/>
    <n v="0"/>
    <n v="0"/>
    <n v="0"/>
    <n v="1413"/>
    <n v="4"/>
    <n v="56.52"/>
    <n v="0"/>
    <n v="0"/>
    <n v="0"/>
    <n v="0"/>
    <n v="0"/>
    <n v="0"/>
    <n v="0"/>
    <n v="50"/>
    <n v="1413"/>
    <n v="6.5"/>
    <n v="91.84"/>
    <n v="1"/>
    <n v="1413"/>
    <n v="0.65"/>
    <n v="9.18"/>
    <n v="1"/>
    <n v="1413"/>
    <n v="3"/>
    <n v="42.39"/>
    <n v="0"/>
    <n v="0"/>
    <n v="0"/>
    <n v="0"/>
    <n v="0"/>
    <n v="0"/>
    <n v="0"/>
    <n v="0"/>
  </r>
  <r>
    <x v="0"/>
    <s v="20/07/2026"/>
    <s v="NFe"/>
    <n v="3251"/>
    <s v="3"/>
    <s v="Saida"/>
    <s v="VENDA DE MERCADORIA ADQUIRIDA OU RECEBIDA DE TERCEIROS"/>
    <s v="33260738462550000103550030000032511260000030"/>
    <s v="38.462.550/0001-03"/>
    <s v="RJ"/>
    <s v="46.733.602/0001-59"/>
    <s v="SP"/>
    <s v="26.341.222/0003-23"/>
    <m/>
    <s v="521000"/>
    <s v="VARAO BASTAO, RETRATIL, PARA CORTINA, MATERIAL PLASTICO PVC, MED. 110 -200 CM"/>
    <x v="0"/>
    <s v="73239400"/>
    <s v="7908623502402"/>
    <s v="2806100"/>
    <m/>
    <x v="0"/>
    <n v="1"/>
    <s v="00"/>
    <m/>
    <m/>
    <n v="3309.6"/>
    <n v="3524.72"/>
    <n v="336"/>
    <s v="UN"/>
    <n v="0"/>
    <n v="0"/>
    <n v="0"/>
    <n v="3309.6"/>
    <n v="4"/>
    <n v="132.38"/>
    <n v="0"/>
    <n v="0"/>
    <n v="0"/>
    <n v="0"/>
    <n v="0"/>
    <n v="0"/>
    <n v="0"/>
    <n v="50"/>
    <n v="3309.6"/>
    <n v="6.5"/>
    <n v="215.12"/>
    <n v="1"/>
    <n v="3309.6"/>
    <n v="0.65"/>
    <n v="21.51"/>
    <n v="1"/>
    <n v="3309.6"/>
    <n v="3"/>
    <n v="99.29"/>
    <n v="0"/>
    <n v="0"/>
    <n v="0"/>
    <n v="0"/>
    <n v="0"/>
    <n v="0"/>
    <n v="0"/>
    <n v="0"/>
  </r>
  <r>
    <x v="0"/>
    <s v="20/07/2026"/>
    <s v="NFe"/>
    <n v="3251"/>
    <s v="3"/>
    <s v="Saida"/>
    <s v="VENDA DE MERCADORIA ADQUIRIDA OU RECEBIDA DE TERCEIROS"/>
    <s v="33260738462550000103550030000032511260000030"/>
    <s v="38.462.550/0001-03"/>
    <s v="RJ"/>
    <s v="46.733.602/0001-59"/>
    <s v="SP"/>
    <s v="26.341.222/0003-23"/>
    <m/>
    <s v="521100"/>
    <s v="VARAO BASTAO, RETRATIL, PARA CORTINA, MATERIAL PLASTICO PVC, MED. 140-260 CM"/>
    <x v="0"/>
    <s v="73239400"/>
    <s v="7908623502419"/>
    <s v="2806100"/>
    <m/>
    <x v="0"/>
    <n v="1"/>
    <s v="00"/>
    <m/>
    <m/>
    <n v="4266"/>
    <n v="4543.29"/>
    <n v="360"/>
    <s v="UN"/>
    <n v="0"/>
    <n v="0"/>
    <n v="0"/>
    <n v="4266"/>
    <n v="4"/>
    <n v="170.64"/>
    <n v="0"/>
    <n v="0"/>
    <n v="0"/>
    <n v="0"/>
    <n v="0"/>
    <n v="0"/>
    <n v="0"/>
    <n v="50"/>
    <n v="4266"/>
    <n v="6.5"/>
    <n v="277.29000000000002"/>
    <n v="1"/>
    <n v="4266"/>
    <n v="0.65"/>
    <n v="27.73"/>
    <n v="1"/>
    <n v="4266"/>
    <n v="3"/>
    <n v="127.98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E96C6-B985-454C-B806-EE1459C26104}" name="Tabela dinâmica13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" firstHeaderRow="0" firstDataRow="1" firstDataCol="1" rowPageCount="1" colPageCount="1"/>
  <pivotFields count="63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6"/>
    <field x="21"/>
  </rowFields>
  <rowItems count="7">
    <i>
      <x/>
    </i>
    <i r="1">
      <x/>
    </i>
    <i r="1">
      <x v="2"/>
    </i>
    <i>
      <x v="1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0" hier="-1"/>
  </pageFields>
  <dataFields count="5">
    <dataField name="Soma de VALOR TOTAL" fld="27" baseField="0" baseItem="0"/>
    <dataField name="Soma de Valor do ICMS" fld="35" baseField="0" baseItem="0"/>
    <dataField name="Soma de Valor do ICMS ST" fld="40" baseField="0" baseItem="0"/>
    <dataField name="Soma de Valor do IPI" fld="46" baseField="0" baseItem="0"/>
    <dataField name="Soma de Valor do ICMS Simples Nacional" fld="3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workbookViewId="0"/>
  </sheetViews>
  <sheetFormatPr defaultRowHeight="15" x14ac:dyDescent="0.25"/>
  <sheetData>
    <row r="1" spans="1:3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75" x14ac:dyDescent="0.25">
      <c r="A2" s="1" t="s">
        <v>35</v>
      </c>
      <c r="B2" s="1" t="s">
        <v>36</v>
      </c>
      <c r="C2" s="1" t="s">
        <v>37</v>
      </c>
      <c r="D2" s="1">
        <v>3101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38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>
        <v>4920.55</v>
      </c>
      <c r="U2" s="1">
        <v>4850.88</v>
      </c>
      <c r="V2" s="1">
        <v>194.03</v>
      </c>
      <c r="W2" s="1">
        <v>31.53</v>
      </c>
      <c r="X2" s="1">
        <v>145.52000000000001</v>
      </c>
      <c r="Y2" s="1">
        <v>0</v>
      </c>
      <c r="Z2" s="1">
        <v>0</v>
      </c>
      <c r="AA2" s="1">
        <v>0</v>
      </c>
      <c r="AB2" s="1">
        <v>69.67</v>
      </c>
      <c r="AC2" s="1">
        <v>0</v>
      </c>
      <c r="AD2" s="1">
        <v>0</v>
      </c>
      <c r="AE2" s="1">
        <v>0</v>
      </c>
      <c r="AF2" s="1">
        <v>0</v>
      </c>
      <c r="AG2" s="1" t="s">
        <v>52</v>
      </c>
      <c r="AH2" s="1"/>
      <c r="AI2" s="1"/>
    </row>
    <row r="3" spans="1:35" ht="15.75" x14ac:dyDescent="0.25">
      <c r="A3" s="1" t="s">
        <v>35</v>
      </c>
      <c r="B3" s="1" t="s">
        <v>53</v>
      </c>
      <c r="C3" s="1" t="s">
        <v>37</v>
      </c>
      <c r="D3" s="1">
        <v>3344898</v>
      </c>
      <c r="E3" s="1" t="s">
        <v>54</v>
      </c>
      <c r="F3" s="1" t="s">
        <v>39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38</v>
      </c>
      <c r="M3" s="1" t="s">
        <v>49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60</v>
      </c>
      <c r="S3" s="1" t="s">
        <v>61</v>
      </c>
      <c r="T3" s="1">
        <v>19.989999999999998</v>
      </c>
      <c r="U3" s="1">
        <v>19.989999999999998</v>
      </c>
      <c r="V3" s="1">
        <v>3.6</v>
      </c>
      <c r="W3" s="1">
        <v>0.27</v>
      </c>
      <c r="X3" s="1">
        <v>1.25</v>
      </c>
      <c r="Y3" s="1">
        <v>0.13</v>
      </c>
      <c r="Z3" s="1">
        <v>0.01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 t="s">
        <v>62</v>
      </c>
      <c r="AH3" s="1"/>
      <c r="AI3" s="1"/>
    </row>
    <row r="4" spans="1:35" ht="15.75" x14ac:dyDescent="0.25">
      <c r="A4" s="1" t="s">
        <v>35</v>
      </c>
      <c r="B4" s="1" t="s">
        <v>63</v>
      </c>
      <c r="C4" s="1" t="s">
        <v>37</v>
      </c>
      <c r="D4" s="1">
        <v>54886</v>
      </c>
      <c r="E4" s="1" t="s">
        <v>64</v>
      </c>
      <c r="F4" s="1" t="s">
        <v>39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38</v>
      </c>
      <c r="M4" s="1" t="s">
        <v>49</v>
      </c>
      <c r="N4" s="1" t="s">
        <v>46</v>
      </c>
      <c r="O4" s="1" t="s">
        <v>47</v>
      </c>
      <c r="P4" s="1" t="s">
        <v>48</v>
      </c>
      <c r="Q4" s="1" t="s">
        <v>49</v>
      </c>
      <c r="R4" s="1"/>
      <c r="S4" s="1" t="s">
        <v>70</v>
      </c>
      <c r="T4" s="1">
        <v>282.35000000000002</v>
      </c>
      <c r="U4" s="1">
        <v>282.35000000000002</v>
      </c>
      <c r="V4" s="1">
        <v>50.82</v>
      </c>
      <c r="W4" s="1">
        <v>1.84</v>
      </c>
      <c r="X4" s="1">
        <v>8.4700000000000006</v>
      </c>
      <c r="Y4" s="1">
        <v>1.99</v>
      </c>
      <c r="Z4" s="1">
        <v>0.22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/>
      <c r="AH4" s="1"/>
      <c r="AI4" s="1"/>
    </row>
    <row r="5" spans="1:35" ht="15.75" x14ac:dyDescent="0.25">
      <c r="A5" s="1" t="s">
        <v>35</v>
      </c>
      <c r="B5" s="1" t="s">
        <v>71</v>
      </c>
      <c r="C5" s="1" t="s">
        <v>37</v>
      </c>
      <c r="D5" s="1">
        <v>31161</v>
      </c>
      <c r="E5" s="1" t="s">
        <v>72</v>
      </c>
      <c r="F5" s="1" t="s">
        <v>39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38</v>
      </c>
      <c r="M5" s="1" t="s">
        <v>78</v>
      </c>
      <c r="N5" s="1" t="s">
        <v>46</v>
      </c>
      <c r="O5" s="1" t="s">
        <v>47</v>
      </c>
      <c r="P5" s="1" t="s">
        <v>48</v>
      </c>
      <c r="Q5" s="1" t="s">
        <v>49</v>
      </c>
      <c r="R5" s="1" t="s">
        <v>79</v>
      </c>
      <c r="S5" s="1" t="s">
        <v>80</v>
      </c>
      <c r="T5" s="1">
        <v>10339.299999999999</v>
      </c>
      <c r="U5" s="1">
        <v>10339.299999999999</v>
      </c>
      <c r="V5" s="1">
        <v>413.57</v>
      </c>
      <c r="W5" s="1">
        <v>64.52</v>
      </c>
      <c r="X5" s="1">
        <v>297.77</v>
      </c>
      <c r="Y5" s="1">
        <v>86.07</v>
      </c>
      <c r="Z5" s="1">
        <v>9.56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 t="s">
        <v>81</v>
      </c>
      <c r="AH5" s="1"/>
      <c r="AI5" s="1"/>
    </row>
    <row r="6" spans="1:35" ht="15.75" x14ac:dyDescent="0.25">
      <c r="A6" s="1" t="s">
        <v>35</v>
      </c>
      <c r="B6" s="1" t="s">
        <v>82</v>
      </c>
      <c r="C6" s="1" t="s">
        <v>37</v>
      </c>
      <c r="D6" s="1">
        <v>7987</v>
      </c>
      <c r="E6" s="1" t="s">
        <v>54</v>
      </c>
      <c r="F6" s="1" t="s">
        <v>39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38</v>
      </c>
      <c r="M6" s="1" t="s">
        <v>78</v>
      </c>
      <c r="N6" s="1" t="s">
        <v>46</v>
      </c>
      <c r="O6" s="1" t="s">
        <v>47</v>
      </c>
      <c r="P6" s="1" t="s">
        <v>48</v>
      </c>
      <c r="Q6" s="1" t="s">
        <v>49</v>
      </c>
      <c r="R6" s="1" t="s">
        <v>88</v>
      </c>
      <c r="S6" s="1" t="s">
        <v>89</v>
      </c>
      <c r="T6" s="1">
        <v>9204.7199999999993</v>
      </c>
      <c r="U6" s="1">
        <v>8749.73</v>
      </c>
      <c r="V6" s="1">
        <v>349.99</v>
      </c>
      <c r="W6" s="1">
        <v>56.87</v>
      </c>
      <c r="X6" s="1">
        <v>262.49</v>
      </c>
      <c r="Y6" s="1">
        <v>72.72</v>
      </c>
      <c r="Z6" s="1">
        <v>8.08</v>
      </c>
      <c r="AA6" s="1">
        <v>0</v>
      </c>
      <c r="AB6" s="1">
        <v>454.99</v>
      </c>
      <c r="AC6" s="1">
        <v>0</v>
      </c>
      <c r="AD6" s="1">
        <v>0</v>
      </c>
      <c r="AE6" s="1">
        <v>0</v>
      </c>
      <c r="AF6" s="1">
        <v>0</v>
      </c>
      <c r="AG6" s="1" t="s">
        <v>90</v>
      </c>
      <c r="AH6" s="1"/>
      <c r="AI6" s="1"/>
    </row>
    <row r="7" spans="1:35" ht="15.75" x14ac:dyDescent="0.25">
      <c r="A7" s="1" t="s">
        <v>35</v>
      </c>
      <c r="B7" s="1" t="s">
        <v>91</v>
      </c>
      <c r="C7" s="1" t="s">
        <v>37</v>
      </c>
      <c r="D7" s="1">
        <v>3220</v>
      </c>
      <c r="E7" s="1" t="s">
        <v>38</v>
      </c>
      <c r="F7" s="1" t="s">
        <v>39</v>
      </c>
      <c r="G7" s="1" t="s">
        <v>40</v>
      </c>
      <c r="H7" s="1" t="s">
        <v>92</v>
      </c>
      <c r="I7" s="1" t="s">
        <v>42</v>
      </c>
      <c r="J7" s="1" t="s">
        <v>43</v>
      </c>
      <c r="K7" s="1" t="s">
        <v>44</v>
      </c>
      <c r="L7" s="1" t="s">
        <v>38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  <c r="T7" s="1">
        <v>4050</v>
      </c>
      <c r="U7" s="1">
        <v>4050</v>
      </c>
      <c r="V7" s="1">
        <v>162</v>
      </c>
      <c r="W7" s="1">
        <v>26.32</v>
      </c>
      <c r="X7" s="1">
        <v>121.5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93</v>
      </c>
      <c r="AH7" s="1"/>
      <c r="AI7" s="1"/>
    </row>
    <row r="8" spans="1:35" ht="15.75" x14ac:dyDescent="0.25">
      <c r="A8" s="1" t="s">
        <v>35</v>
      </c>
      <c r="B8" s="1" t="s">
        <v>94</v>
      </c>
      <c r="C8" s="1" t="s">
        <v>37</v>
      </c>
      <c r="D8" s="1">
        <v>3687</v>
      </c>
      <c r="E8" s="1" t="s">
        <v>64</v>
      </c>
      <c r="F8" s="1" t="s">
        <v>39</v>
      </c>
      <c r="G8" s="1" t="s">
        <v>95</v>
      </c>
      <c r="H8" s="1" t="s">
        <v>96</v>
      </c>
      <c r="I8" s="1" t="s">
        <v>97</v>
      </c>
      <c r="J8" s="1" t="s">
        <v>98</v>
      </c>
      <c r="K8" s="1" t="s">
        <v>99</v>
      </c>
      <c r="L8" s="1" t="s">
        <v>38</v>
      </c>
      <c r="M8" s="1" t="s">
        <v>49</v>
      </c>
      <c r="N8" s="1" t="s">
        <v>46</v>
      </c>
      <c r="O8" s="1" t="s">
        <v>47</v>
      </c>
      <c r="P8" s="1" t="s">
        <v>48</v>
      </c>
      <c r="Q8" s="1" t="s">
        <v>49</v>
      </c>
      <c r="R8" s="1"/>
      <c r="S8" s="1" t="s">
        <v>70</v>
      </c>
      <c r="T8" s="1">
        <v>5400</v>
      </c>
      <c r="U8" s="1">
        <v>5400</v>
      </c>
      <c r="V8" s="1">
        <v>972</v>
      </c>
      <c r="W8" s="1">
        <v>28.78</v>
      </c>
      <c r="X8" s="1">
        <v>132.84</v>
      </c>
      <c r="Y8" s="1">
        <v>38.4</v>
      </c>
      <c r="Z8" s="1">
        <v>4.2699999999999996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100</v>
      </c>
      <c r="AH8" s="1"/>
      <c r="AI8" s="1"/>
    </row>
    <row r="9" spans="1:35" ht="15.75" x14ac:dyDescent="0.25">
      <c r="A9" s="1" t="s">
        <v>35</v>
      </c>
      <c r="B9" s="1" t="s">
        <v>94</v>
      </c>
      <c r="C9" s="1" t="s">
        <v>37</v>
      </c>
      <c r="D9" s="1">
        <v>3251</v>
      </c>
      <c r="E9" s="1" t="s">
        <v>38</v>
      </c>
      <c r="F9" s="1" t="s">
        <v>39</v>
      </c>
      <c r="G9" s="1" t="s">
        <v>40</v>
      </c>
      <c r="H9" s="1" t="s">
        <v>101</v>
      </c>
      <c r="I9" s="1" t="s">
        <v>42</v>
      </c>
      <c r="J9" s="1" t="s">
        <v>43</v>
      </c>
      <c r="K9" s="1" t="s">
        <v>44</v>
      </c>
      <c r="L9" s="1" t="s">
        <v>38</v>
      </c>
      <c r="M9" s="1" t="s">
        <v>45</v>
      </c>
      <c r="N9" s="1" t="s">
        <v>46</v>
      </c>
      <c r="O9" s="1" t="s">
        <v>47</v>
      </c>
      <c r="P9" s="1" t="s">
        <v>48</v>
      </c>
      <c r="Q9" s="1" t="s">
        <v>49</v>
      </c>
      <c r="R9" s="1" t="s">
        <v>50</v>
      </c>
      <c r="S9" s="1" t="s">
        <v>51</v>
      </c>
      <c r="T9" s="1">
        <v>9572.85</v>
      </c>
      <c r="U9" s="1">
        <v>8988.6</v>
      </c>
      <c r="V9" s="1">
        <v>359.54</v>
      </c>
      <c r="W9" s="1">
        <v>58.42</v>
      </c>
      <c r="X9" s="1">
        <v>269.66000000000003</v>
      </c>
      <c r="Y9" s="1">
        <v>0</v>
      </c>
      <c r="Z9" s="1">
        <v>0</v>
      </c>
      <c r="AA9" s="1">
        <v>0</v>
      </c>
      <c r="AB9" s="1">
        <v>584.25</v>
      </c>
      <c r="AC9" s="1">
        <v>0</v>
      </c>
      <c r="AD9" s="1">
        <v>0</v>
      </c>
      <c r="AE9" s="1">
        <v>0</v>
      </c>
      <c r="AF9" s="1">
        <v>0</v>
      </c>
      <c r="AG9" s="1" t="s">
        <v>102</v>
      </c>
      <c r="AH9" s="1"/>
      <c r="AI9" s="1"/>
    </row>
    <row r="10" spans="1:35" ht="15.75" x14ac:dyDescent="0.25">
      <c r="A10" s="1" t="s">
        <v>35</v>
      </c>
      <c r="B10" s="1" t="s">
        <v>94</v>
      </c>
      <c r="C10" s="1" t="s">
        <v>37</v>
      </c>
      <c r="D10" s="1">
        <v>1889</v>
      </c>
      <c r="E10" s="1" t="s">
        <v>38</v>
      </c>
      <c r="F10" s="1" t="s">
        <v>39</v>
      </c>
      <c r="G10" s="1" t="s">
        <v>103</v>
      </c>
      <c r="H10" s="1" t="s">
        <v>104</v>
      </c>
      <c r="I10" s="1" t="s">
        <v>105</v>
      </c>
      <c r="J10" s="1" t="s">
        <v>106</v>
      </c>
      <c r="K10" s="1" t="s">
        <v>107</v>
      </c>
      <c r="L10" s="1" t="s">
        <v>64</v>
      </c>
      <c r="M10" s="1" t="s">
        <v>49</v>
      </c>
      <c r="N10" s="1" t="s">
        <v>46</v>
      </c>
      <c r="O10" s="1" t="s">
        <v>47</v>
      </c>
      <c r="P10" s="1" t="s">
        <v>48</v>
      </c>
      <c r="Q10" s="1" t="s">
        <v>49</v>
      </c>
      <c r="R10" s="1"/>
      <c r="S10" s="1" t="s">
        <v>70</v>
      </c>
      <c r="T10" s="1">
        <v>177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 t="s">
        <v>108</v>
      </c>
      <c r="AH10" s="1"/>
      <c r="AI1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C789-0585-4D1C-A447-F387132C58F0}">
  <dimension ref="A1:F10"/>
  <sheetViews>
    <sheetView tabSelected="1" workbookViewId="0">
      <selection activeCell="D15" sqref="D15"/>
    </sheetView>
  </sheetViews>
  <sheetFormatPr defaultRowHeight="15.75" x14ac:dyDescent="0.25"/>
  <cols>
    <col min="1" max="1" width="17.25" bestFit="1" customWidth="1"/>
    <col min="2" max="2" width="20.75" bestFit="1" customWidth="1"/>
    <col min="3" max="3" width="21" bestFit="1" customWidth="1"/>
    <col min="4" max="4" width="23.625" bestFit="1" customWidth="1"/>
    <col min="5" max="5" width="18.875" bestFit="1" customWidth="1"/>
    <col min="6" max="6" width="36.5" bestFit="1" customWidth="1"/>
  </cols>
  <sheetData>
    <row r="1" spans="1:6" x14ac:dyDescent="0.25">
      <c r="A1" s="5" t="s">
        <v>0</v>
      </c>
      <c r="B1" t="s">
        <v>35</v>
      </c>
    </row>
    <row r="3" spans="1:6" x14ac:dyDescent="0.25">
      <c r="A3" s="5" t="s">
        <v>206</v>
      </c>
      <c r="B3" t="s">
        <v>208</v>
      </c>
      <c r="C3" t="s">
        <v>209</v>
      </c>
      <c r="D3" t="s">
        <v>210</v>
      </c>
      <c r="E3" t="s">
        <v>211</v>
      </c>
      <c r="F3" t="s">
        <v>212</v>
      </c>
    </row>
    <row r="4" spans="1:6" x14ac:dyDescent="0.25">
      <c r="A4" s="6" t="s">
        <v>153</v>
      </c>
      <c r="B4" s="8">
        <v>43487.42</v>
      </c>
      <c r="C4" s="8">
        <v>2451.13</v>
      </c>
      <c r="D4" s="8">
        <v>0</v>
      </c>
      <c r="E4" s="8">
        <v>1108.9100000000001</v>
      </c>
      <c r="F4" s="8">
        <v>0</v>
      </c>
    </row>
    <row r="5" spans="1:6" x14ac:dyDescent="0.25">
      <c r="A5" s="7">
        <v>5102</v>
      </c>
      <c r="B5" s="8">
        <v>5400</v>
      </c>
      <c r="C5" s="8">
        <v>972</v>
      </c>
      <c r="D5" s="8">
        <v>0</v>
      </c>
      <c r="E5" s="8">
        <v>0</v>
      </c>
      <c r="F5" s="8">
        <v>0</v>
      </c>
    </row>
    <row r="6" spans="1:6" x14ac:dyDescent="0.25">
      <c r="A6" s="7">
        <v>6102</v>
      </c>
      <c r="B6" s="8">
        <v>38087.42</v>
      </c>
      <c r="C6" s="8">
        <v>1479.13</v>
      </c>
      <c r="D6" s="8">
        <v>0</v>
      </c>
      <c r="E6" s="8">
        <v>1108.9100000000001</v>
      </c>
      <c r="F6" s="8">
        <v>0</v>
      </c>
    </row>
    <row r="7" spans="1:6" x14ac:dyDescent="0.25">
      <c r="A7" s="6" t="s">
        <v>172</v>
      </c>
      <c r="B7" s="8">
        <v>479.34000000000003</v>
      </c>
      <c r="C7" s="8">
        <v>54.42</v>
      </c>
      <c r="D7" s="8">
        <v>0</v>
      </c>
      <c r="E7" s="8">
        <v>0</v>
      </c>
      <c r="F7" s="8">
        <v>4.87</v>
      </c>
    </row>
    <row r="8" spans="1:6" x14ac:dyDescent="0.25">
      <c r="A8" s="7">
        <v>5102</v>
      </c>
      <c r="B8" s="8">
        <v>459.35</v>
      </c>
      <c r="C8" s="8">
        <v>50.82</v>
      </c>
      <c r="D8" s="8">
        <v>0</v>
      </c>
      <c r="E8" s="8">
        <v>0</v>
      </c>
      <c r="F8" s="8">
        <v>4.87</v>
      </c>
    </row>
    <row r="9" spans="1:6" x14ac:dyDescent="0.25">
      <c r="A9" s="7">
        <v>5106</v>
      </c>
      <c r="B9" s="8">
        <v>19.989999999999998</v>
      </c>
      <c r="C9" s="8">
        <v>3.6</v>
      </c>
      <c r="D9" s="8">
        <v>0</v>
      </c>
      <c r="E9" s="8">
        <v>0</v>
      </c>
      <c r="F9" s="8">
        <v>0</v>
      </c>
    </row>
    <row r="10" spans="1:6" x14ac:dyDescent="0.25">
      <c r="A10" s="6" t="s">
        <v>207</v>
      </c>
      <c r="B10" s="8">
        <v>43966.759999999995</v>
      </c>
      <c r="C10" s="8">
        <v>2505.5500000000002</v>
      </c>
      <c r="D10" s="8">
        <v>0</v>
      </c>
      <c r="E10" s="8">
        <v>1108.9100000000001</v>
      </c>
      <c r="F10" s="8">
        <v>4.87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5"/>
  <sheetViews>
    <sheetView workbookViewId="0">
      <selection activeCell="AC4" sqref="AC4"/>
    </sheetView>
  </sheetViews>
  <sheetFormatPr defaultRowHeight="15.75" x14ac:dyDescent="0.25"/>
  <cols>
    <col min="1" max="1" width="9.5" style="2" bestFit="1" customWidth="1"/>
    <col min="2" max="2" width="14.625" style="2" bestFit="1" customWidth="1"/>
    <col min="3" max="3" width="7.125" style="2" bestFit="1" customWidth="1"/>
    <col min="4" max="4" width="11.625" style="2" bestFit="1" customWidth="1"/>
    <col min="5" max="5" width="11.5" style="2" bestFit="1" customWidth="1"/>
    <col min="6" max="6" width="15" style="2" bestFit="1" customWidth="1"/>
    <col min="7" max="7" width="58.125" style="2" bestFit="1" customWidth="1"/>
    <col min="8" max="8" width="46" style="2" bestFit="1" customWidth="1"/>
    <col min="9" max="9" width="17.75" style="2" bestFit="1" customWidth="1"/>
    <col min="10" max="10" width="11.875" style="2" bestFit="1" customWidth="1"/>
    <col min="11" max="11" width="20.5" style="2" bestFit="1" customWidth="1"/>
    <col min="12" max="12" width="14.75" style="2" bestFit="1" customWidth="1"/>
    <col min="13" max="13" width="23" style="2" bestFit="1" customWidth="1"/>
    <col min="14" max="14" width="12.375" style="2" bestFit="1" customWidth="1"/>
    <col min="15" max="15" width="11" style="2" bestFit="1" customWidth="1"/>
    <col min="16" max="16" width="121.5" style="2" bestFit="1" customWidth="1"/>
    <col min="17" max="17" width="13.625" style="2" bestFit="1" customWidth="1"/>
    <col min="18" max="18" width="8.875" style="2" bestFit="1" customWidth="1"/>
    <col min="19" max="19" width="14" style="2" bestFit="1" customWidth="1"/>
    <col min="20" max="20" width="7.875" style="2" bestFit="1" customWidth="1"/>
    <col min="21" max="21" width="2.875" style="2" bestFit="1" customWidth="1"/>
    <col min="22" max="22" width="5.25" style="2" bestFit="1" customWidth="1"/>
    <col min="23" max="23" width="6.875" style="2" bestFit="1" customWidth="1"/>
    <col min="24" max="24" width="3.875" style="2" bestFit="1" customWidth="1"/>
    <col min="25" max="25" width="6.375" style="2" bestFit="1" customWidth="1"/>
    <col min="26" max="26" width="8.375" style="2" bestFit="1" customWidth="1"/>
    <col min="27" max="27" width="14.5" style="2" bestFit="1" customWidth="1"/>
    <col min="28" max="28" width="14.5" style="2" customWidth="1"/>
    <col min="29" max="29" width="10.375" style="2" bestFit="1" customWidth="1"/>
    <col min="30" max="30" width="7.625" style="2" bestFit="1" customWidth="1"/>
    <col min="31" max="31" width="8.5" style="2" bestFit="1" customWidth="1"/>
    <col min="32" max="32" width="5" style="2" bestFit="1" customWidth="1"/>
    <col min="33" max="33" width="18.125" style="2" bestFit="1" customWidth="1"/>
    <col min="34" max="34" width="12" style="2" bestFit="1" customWidth="1"/>
    <col min="35" max="35" width="14.875" style="2" bestFit="1" customWidth="1"/>
    <col min="36" max="36" width="12.25" style="2" bestFit="1" customWidth="1"/>
    <col min="37" max="37" width="29.75" style="2" bestFit="1" customWidth="1"/>
    <col min="38" max="38" width="27.125" style="2" bestFit="1" customWidth="1"/>
    <col min="39" max="39" width="14.5" style="2" bestFit="1" customWidth="1"/>
    <col min="40" max="40" width="17.375" style="2" bestFit="1" customWidth="1"/>
    <col min="41" max="41" width="14.75" style="2" bestFit="1" customWidth="1"/>
    <col min="42" max="42" width="10.75" style="2" bestFit="1" customWidth="1"/>
    <col min="43" max="43" width="30.125" style="2" bestFit="1" customWidth="1"/>
    <col min="44" max="44" width="6.375" style="2" bestFit="1" customWidth="1"/>
    <col min="45" max="45" width="9.875" style="2" bestFit="1" customWidth="1"/>
    <col min="46" max="46" width="12.625" style="2" bestFit="1" customWidth="1"/>
    <col min="47" max="47" width="10.125" style="2" bestFit="1" customWidth="1"/>
    <col min="48" max="48" width="6.75" style="2" bestFit="1" customWidth="1"/>
    <col min="49" max="49" width="10.25" style="2" bestFit="1" customWidth="1"/>
    <col min="50" max="50" width="13.125" style="2" bestFit="1" customWidth="1"/>
    <col min="51" max="51" width="10.5" style="2" bestFit="1" customWidth="1"/>
    <col min="52" max="52" width="10.375" style="2" bestFit="1" customWidth="1"/>
    <col min="53" max="53" width="14" style="2" bestFit="1" customWidth="1"/>
    <col min="54" max="54" width="16.75" style="2" bestFit="1" customWidth="1"/>
    <col min="55" max="55" width="14.25" style="2" bestFit="1" customWidth="1"/>
    <col min="56" max="56" width="11" style="2" bestFit="1" customWidth="1"/>
    <col min="57" max="57" width="13.875" style="2" bestFit="1" customWidth="1"/>
    <col min="58" max="58" width="11.25" style="2" bestFit="1" customWidth="1"/>
    <col min="59" max="59" width="10.375" style="2" bestFit="1" customWidth="1"/>
    <col min="60" max="60" width="20.875" style="2" bestFit="1" customWidth="1"/>
    <col min="61" max="61" width="22" style="2" bestFit="1" customWidth="1"/>
    <col min="62" max="62" width="18.375" style="2" bestFit="1" customWidth="1"/>
    <col min="63" max="63" width="19.375" style="2" bestFit="1" customWidth="1"/>
    <col min="64" max="16384" width="9" style="2"/>
  </cols>
  <sheetData>
    <row r="1" spans="1:6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109</v>
      </c>
      <c r="O1" s="2" t="s">
        <v>110</v>
      </c>
      <c r="P1" s="2" t="s">
        <v>32</v>
      </c>
      <c r="Q1" s="2" t="s">
        <v>111</v>
      </c>
      <c r="R1" s="2" t="s">
        <v>112</v>
      </c>
      <c r="S1" s="2" t="s">
        <v>113</v>
      </c>
      <c r="T1" s="2" t="s">
        <v>114</v>
      </c>
      <c r="U1" s="2" t="s">
        <v>115</v>
      </c>
      <c r="V1" s="2" t="s">
        <v>116</v>
      </c>
      <c r="W1" s="2" t="s">
        <v>117</v>
      </c>
      <c r="X1" s="2" t="s">
        <v>118</v>
      </c>
      <c r="Y1" s="2" t="s">
        <v>119</v>
      </c>
      <c r="Z1" s="2" t="s">
        <v>120</v>
      </c>
      <c r="AA1" s="2" t="s">
        <v>121</v>
      </c>
      <c r="AB1" s="4" t="s">
        <v>205</v>
      </c>
      <c r="AC1" s="2" t="s">
        <v>122</v>
      </c>
      <c r="AD1" s="2" t="s">
        <v>123</v>
      </c>
      <c r="AE1" s="2" t="s">
        <v>124</v>
      </c>
      <c r="AF1" s="2" t="s">
        <v>125</v>
      </c>
      <c r="AG1" s="2" t="s">
        <v>126</v>
      </c>
      <c r="AH1" s="2" t="s">
        <v>20</v>
      </c>
      <c r="AI1" s="2" t="s">
        <v>127</v>
      </c>
      <c r="AJ1" s="2" t="s">
        <v>21</v>
      </c>
      <c r="AK1" s="2" t="s">
        <v>128</v>
      </c>
      <c r="AL1" s="2" t="s">
        <v>129</v>
      </c>
      <c r="AM1" s="2" t="s">
        <v>130</v>
      </c>
      <c r="AN1" s="2" t="s">
        <v>131</v>
      </c>
      <c r="AO1" s="2" t="s">
        <v>132</v>
      </c>
      <c r="AP1" s="2" t="s">
        <v>133</v>
      </c>
      <c r="AQ1" s="2" t="s">
        <v>30</v>
      </c>
      <c r="AR1" s="2" t="s">
        <v>134</v>
      </c>
      <c r="AS1" s="2" t="s">
        <v>135</v>
      </c>
      <c r="AT1" s="2" t="s">
        <v>136</v>
      </c>
      <c r="AU1" s="2" t="s">
        <v>27</v>
      </c>
      <c r="AV1" s="2" t="s">
        <v>137</v>
      </c>
      <c r="AW1" s="2" t="s">
        <v>138</v>
      </c>
      <c r="AX1" s="2" t="s">
        <v>139</v>
      </c>
      <c r="AY1" s="2" t="s">
        <v>22</v>
      </c>
      <c r="AZ1" s="2" t="s">
        <v>140</v>
      </c>
      <c r="BA1" s="2" t="s">
        <v>141</v>
      </c>
      <c r="BB1" s="2" t="s">
        <v>142</v>
      </c>
      <c r="BC1" s="2" t="s">
        <v>23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</row>
    <row r="2" spans="1:63" x14ac:dyDescent="0.25">
      <c r="A2" s="3" t="s">
        <v>35</v>
      </c>
      <c r="B2" s="3" t="s">
        <v>36</v>
      </c>
      <c r="C2" s="3" t="s">
        <v>37</v>
      </c>
      <c r="D2" s="3">
        <v>3101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43</v>
      </c>
      <c r="J2" s="3" t="s">
        <v>45</v>
      </c>
      <c r="K2" s="3" t="s">
        <v>47</v>
      </c>
      <c r="L2" s="3" t="s">
        <v>49</v>
      </c>
      <c r="M2" s="3" t="s">
        <v>51</v>
      </c>
      <c r="N2" s="3">
        <v>4920.55</v>
      </c>
      <c r="O2" s="3" t="s">
        <v>151</v>
      </c>
      <c r="P2" s="3" t="s">
        <v>152</v>
      </c>
      <c r="Q2" s="3" t="s">
        <v>153</v>
      </c>
      <c r="R2" s="3" t="s">
        <v>154</v>
      </c>
      <c r="S2" s="3" t="s">
        <v>155</v>
      </c>
      <c r="T2" s="3" t="s">
        <v>156</v>
      </c>
      <c r="U2" s="3"/>
      <c r="V2" s="3">
        <v>6102</v>
      </c>
      <c r="W2" s="3">
        <v>1</v>
      </c>
      <c r="X2" s="3" t="s">
        <v>157</v>
      </c>
      <c r="Y2" s="3"/>
      <c r="Z2" s="3"/>
      <c r="AA2" s="3">
        <v>472.8</v>
      </c>
      <c r="AB2" s="3">
        <f>AA2-AE2+AF2+AG2+AO2+AU2</f>
        <v>503.53000000000003</v>
      </c>
      <c r="AC2" s="3">
        <v>48</v>
      </c>
      <c r="AD2" s="3" t="s">
        <v>158</v>
      </c>
      <c r="AE2" s="3">
        <v>0</v>
      </c>
      <c r="AF2" s="3">
        <v>0</v>
      </c>
      <c r="AG2" s="3">
        <v>0</v>
      </c>
      <c r="AH2" s="3">
        <v>472.8</v>
      </c>
      <c r="AI2" s="3">
        <v>4</v>
      </c>
      <c r="AJ2" s="3">
        <v>18.91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50</v>
      </c>
      <c r="AS2" s="3">
        <v>472.8</v>
      </c>
      <c r="AT2" s="3">
        <v>6.5</v>
      </c>
      <c r="AU2" s="3">
        <v>30.73</v>
      </c>
      <c r="AV2" s="3">
        <v>1</v>
      </c>
      <c r="AW2" s="3">
        <v>472.8</v>
      </c>
      <c r="AX2" s="3">
        <v>0.65</v>
      </c>
      <c r="AY2" s="3">
        <v>3.07</v>
      </c>
      <c r="AZ2" s="3">
        <v>1</v>
      </c>
      <c r="BA2" s="3">
        <v>472.8</v>
      </c>
      <c r="BB2" s="3">
        <v>3</v>
      </c>
      <c r="BC2" s="3">
        <v>14.18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</row>
    <row r="3" spans="1:63" x14ac:dyDescent="0.25">
      <c r="A3" s="3" t="s">
        <v>35</v>
      </c>
      <c r="B3" s="3" t="s">
        <v>36</v>
      </c>
      <c r="C3" s="3" t="s">
        <v>37</v>
      </c>
      <c r="D3" s="3">
        <v>3101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43</v>
      </c>
      <c r="J3" s="3" t="s">
        <v>45</v>
      </c>
      <c r="K3" s="3" t="s">
        <v>47</v>
      </c>
      <c r="L3" s="3" t="s">
        <v>49</v>
      </c>
      <c r="M3" s="3" t="s">
        <v>51</v>
      </c>
      <c r="N3" s="3"/>
      <c r="O3" s="3" t="s">
        <v>159</v>
      </c>
      <c r="P3" s="3" t="s">
        <v>160</v>
      </c>
      <c r="Q3" s="3" t="s">
        <v>153</v>
      </c>
      <c r="R3" s="3" t="s">
        <v>161</v>
      </c>
      <c r="S3" s="3" t="s">
        <v>162</v>
      </c>
      <c r="T3" s="3"/>
      <c r="U3" s="3"/>
      <c r="V3" s="3">
        <v>6102</v>
      </c>
      <c r="W3" s="3">
        <v>1</v>
      </c>
      <c r="X3" s="3" t="s">
        <v>157</v>
      </c>
      <c r="Y3" s="3"/>
      <c r="Z3" s="3"/>
      <c r="AA3" s="3">
        <v>1560</v>
      </c>
      <c r="AB3" s="3">
        <f t="shared" ref="AB3:AB15" si="0">AA3-AE3+AF3+AG3+AO3+AU3</f>
        <v>1560</v>
      </c>
      <c r="AC3" s="3">
        <v>120</v>
      </c>
      <c r="AD3" s="3" t="s">
        <v>158</v>
      </c>
      <c r="AE3" s="3">
        <v>0</v>
      </c>
      <c r="AF3" s="3">
        <v>0</v>
      </c>
      <c r="AG3" s="3">
        <v>0</v>
      </c>
      <c r="AH3" s="3">
        <v>1560</v>
      </c>
      <c r="AI3" s="3">
        <v>4</v>
      </c>
      <c r="AJ3" s="3">
        <v>62.4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51</v>
      </c>
      <c r="AS3" s="3">
        <v>0</v>
      </c>
      <c r="AT3" s="3">
        <v>0</v>
      </c>
      <c r="AU3" s="3">
        <v>0</v>
      </c>
      <c r="AV3" s="3">
        <v>1</v>
      </c>
      <c r="AW3" s="3">
        <v>1560</v>
      </c>
      <c r="AX3" s="3">
        <v>0.65</v>
      </c>
      <c r="AY3" s="3">
        <v>10.14</v>
      </c>
      <c r="AZ3" s="3">
        <v>1</v>
      </c>
      <c r="BA3" s="3">
        <v>1560</v>
      </c>
      <c r="BB3" s="3">
        <v>3</v>
      </c>
      <c r="BC3" s="3">
        <v>46.8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</row>
    <row r="4" spans="1:63" x14ac:dyDescent="0.25">
      <c r="A4" s="3" t="s">
        <v>35</v>
      </c>
      <c r="B4" s="3" t="s">
        <v>36</v>
      </c>
      <c r="C4" s="3" t="s">
        <v>37</v>
      </c>
      <c r="D4" s="3">
        <v>3101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43</v>
      </c>
      <c r="J4" s="3" t="s">
        <v>45</v>
      </c>
      <c r="K4" s="3" t="s">
        <v>47</v>
      </c>
      <c r="L4" s="3" t="s">
        <v>49</v>
      </c>
      <c r="M4" s="3" t="s">
        <v>51</v>
      </c>
      <c r="N4" s="3"/>
      <c r="O4" s="3" t="s">
        <v>163</v>
      </c>
      <c r="P4" s="3" t="s">
        <v>164</v>
      </c>
      <c r="Q4" s="3" t="s">
        <v>153</v>
      </c>
      <c r="R4" s="3" t="s">
        <v>161</v>
      </c>
      <c r="S4" s="3" t="s">
        <v>165</v>
      </c>
      <c r="T4" s="3"/>
      <c r="U4" s="3"/>
      <c r="V4" s="3">
        <v>6102</v>
      </c>
      <c r="W4" s="3">
        <v>1</v>
      </c>
      <c r="X4" s="3" t="s">
        <v>157</v>
      </c>
      <c r="Y4" s="3"/>
      <c r="Z4" s="3"/>
      <c r="AA4" s="3">
        <v>1620</v>
      </c>
      <c r="AB4" s="3">
        <f t="shared" si="0"/>
        <v>1620</v>
      </c>
      <c r="AC4" s="3">
        <v>200</v>
      </c>
      <c r="AD4" s="3" t="s">
        <v>158</v>
      </c>
      <c r="AE4" s="3">
        <v>0</v>
      </c>
      <c r="AF4" s="3">
        <v>0</v>
      </c>
      <c r="AG4" s="3">
        <v>0</v>
      </c>
      <c r="AH4" s="3">
        <v>1620</v>
      </c>
      <c r="AI4" s="3">
        <v>4</v>
      </c>
      <c r="AJ4" s="3">
        <v>64.8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51</v>
      </c>
      <c r="AS4" s="3">
        <v>0</v>
      </c>
      <c r="AT4" s="3">
        <v>0</v>
      </c>
      <c r="AU4" s="3">
        <v>0</v>
      </c>
      <c r="AV4" s="3">
        <v>1</v>
      </c>
      <c r="AW4" s="3">
        <v>1620</v>
      </c>
      <c r="AX4" s="3">
        <v>0.65</v>
      </c>
      <c r="AY4" s="3">
        <v>10.53</v>
      </c>
      <c r="AZ4" s="3">
        <v>1</v>
      </c>
      <c r="BA4" s="3">
        <v>1620</v>
      </c>
      <c r="BB4" s="3">
        <v>3</v>
      </c>
      <c r="BC4" s="3">
        <v>48.6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</row>
    <row r="5" spans="1:63" x14ac:dyDescent="0.25">
      <c r="A5" s="3" t="s">
        <v>35</v>
      </c>
      <c r="B5" s="3" t="s">
        <v>36</v>
      </c>
      <c r="C5" s="3" t="s">
        <v>37</v>
      </c>
      <c r="D5" s="3">
        <v>3101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43</v>
      </c>
      <c r="J5" s="3" t="s">
        <v>45</v>
      </c>
      <c r="K5" s="3" t="s">
        <v>47</v>
      </c>
      <c r="L5" s="3" t="s">
        <v>49</v>
      </c>
      <c r="M5" s="3" t="s">
        <v>51</v>
      </c>
      <c r="N5" s="3"/>
      <c r="O5" s="3" t="s">
        <v>166</v>
      </c>
      <c r="P5" s="3" t="s">
        <v>167</v>
      </c>
      <c r="Q5" s="3" t="s">
        <v>153</v>
      </c>
      <c r="R5" s="3" t="s">
        <v>168</v>
      </c>
      <c r="S5" s="3" t="s">
        <v>169</v>
      </c>
      <c r="T5" s="3"/>
      <c r="U5" s="3"/>
      <c r="V5" s="3">
        <v>6102</v>
      </c>
      <c r="W5" s="3">
        <v>1</v>
      </c>
      <c r="X5" s="3" t="s">
        <v>157</v>
      </c>
      <c r="Y5" s="3"/>
      <c r="Z5" s="3"/>
      <c r="AA5" s="3">
        <v>1198.08</v>
      </c>
      <c r="AB5" s="3">
        <f t="shared" si="0"/>
        <v>1237.02</v>
      </c>
      <c r="AC5" s="3">
        <v>16</v>
      </c>
      <c r="AD5" s="3" t="s">
        <v>158</v>
      </c>
      <c r="AE5" s="3">
        <v>0</v>
      </c>
      <c r="AF5" s="3">
        <v>0</v>
      </c>
      <c r="AG5" s="3">
        <v>0</v>
      </c>
      <c r="AH5" s="3">
        <v>1198.08</v>
      </c>
      <c r="AI5" s="3">
        <v>4</v>
      </c>
      <c r="AJ5" s="3">
        <v>47.92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50</v>
      </c>
      <c r="AS5" s="3">
        <v>1198.08</v>
      </c>
      <c r="AT5" s="3">
        <v>3.25</v>
      </c>
      <c r="AU5" s="3">
        <v>38.94</v>
      </c>
      <c r="AV5" s="3">
        <v>1</v>
      </c>
      <c r="AW5" s="3">
        <v>1198.08</v>
      </c>
      <c r="AX5" s="3">
        <v>0.65</v>
      </c>
      <c r="AY5" s="3">
        <v>7.79</v>
      </c>
      <c r="AZ5" s="3">
        <v>1</v>
      </c>
      <c r="BA5" s="3">
        <v>1198.08</v>
      </c>
      <c r="BB5" s="3">
        <v>3</v>
      </c>
      <c r="BC5" s="3">
        <v>35.94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</row>
    <row r="6" spans="1:63" x14ac:dyDescent="0.25">
      <c r="A6" s="3" t="s">
        <v>35</v>
      </c>
      <c r="B6" s="3" t="s">
        <v>53</v>
      </c>
      <c r="C6" s="3" t="s">
        <v>37</v>
      </c>
      <c r="D6" s="3">
        <v>3344898</v>
      </c>
      <c r="E6" s="3" t="s">
        <v>54</v>
      </c>
      <c r="F6" s="3" t="s">
        <v>39</v>
      </c>
      <c r="G6" s="3" t="s">
        <v>55</v>
      </c>
      <c r="H6" s="3" t="s">
        <v>56</v>
      </c>
      <c r="I6" s="3" t="s">
        <v>58</v>
      </c>
      <c r="J6" s="3" t="s">
        <v>49</v>
      </c>
      <c r="K6" s="3" t="s">
        <v>47</v>
      </c>
      <c r="L6" s="3" t="s">
        <v>49</v>
      </c>
      <c r="M6" s="3" t="s">
        <v>61</v>
      </c>
      <c r="N6" s="3">
        <v>19.989999999999998</v>
      </c>
      <c r="O6" s="3" t="s">
        <v>170</v>
      </c>
      <c r="P6" s="3" t="s">
        <v>171</v>
      </c>
      <c r="Q6" s="3" t="s">
        <v>172</v>
      </c>
      <c r="R6" s="3" t="s">
        <v>173</v>
      </c>
      <c r="S6" s="3" t="s">
        <v>174</v>
      </c>
      <c r="T6" s="3"/>
      <c r="U6" s="3"/>
      <c r="V6" s="3">
        <v>5106</v>
      </c>
      <c r="W6" s="3">
        <v>2</v>
      </c>
      <c r="X6" s="3" t="s">
        <v>157</v>
      </c>
      <c r="Y6" s="3"/>
      <c r="Z6" s="3" t="s">
        <v>175</v>
      </c>
      <c r="AA6" s="3">
        <v>19.989999999999998</v>
      </c>
      <c r="AB6" s="3">
        <f t="shared" si="0"/>
        <v>19.989999999999998</v>
      </c>
      <c r="AC6" s="3">
        <v>1</v>
      </c>
      <c r="AD6" s="3" t="s">
        <v>158</v>
      </c>
      <c r="AE6" s="3">
        <v>0</v>
      </c>
      <c r="AF6" s="3">
        <v>0</v>
      </c>
      <c r="AG6" s="3">
        <v>0</v>
      </c>
      <c r="AH6" s="3">
        <v>19.989999999999998</v>
      </c>
      <c r="AI6" s="3">
        <v>18</v>
      </c>
      <c r="AJ6" s="3">
        <v>3.6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53</v>
      </c>
      <c r="AS6" s="3">
        <v>0</v>
      </c>
      <c r="AT6" s="3">
        <v>0</v>
      </c>
      <c r="AU6" s="3">
        <v>0</v>
      </c>
      <c r="AV6" s="3">
        <v>1</v>
      </c>
      <c r="AW6" s="3">
        <v>16.39</v>
      </c>
      <c r="AX6" s="3">
        <v>1.65</v>
      </c>
      <c r="AY6" s="3">
        <v>0.27</v>
      </c>
      <c r="AZ6" s="3">
        <v>1</v>
      </c>
      <c r="BA6" s="3">
        <v>16.39</v>
      </c>
      <c r="BB6" s="3">
        <v>7.6</v>
      </c>
      <c r="BC6" s="3">
        <v>1.25</v>
      </c>
      <c r="BD6" s="3">
        <v>14.87</v>
      </c>
      <c r="BE6" s="3">
        <v>0.9</v>
      </c>
      <c r="BF6" s="3">
        <v>0.13</v>
      </c>
      <c r="BG6" s="3">
        <v>14.87</v>
      </c>
      <c r="BH6" s="3">
        <v>0.1</v>
      </c>
      <c r="BI6" s="3">
        <v>0</v>
      </c>
      <c r="BJ6" s="3">
        <v>0.01</v>
      </c>
      <c r="BK6" s="3">
        <v>0</v>
      </c>
    </row>
    <row r="7" spans="1:63" x14ac:dyDescent="0.25">
      <c r="A7" s="3" t="s">
        <v>35</v>
      </c>
      <c r="B7" s="3" t="s">
        <v>63</v>
      </c>
      <c r="C7" s="3" t="s">
        <v>37</v>
      </c>
      <c r="D7" s="3">
        <v>54886</v>
      </c>
      <c r="E7" s="3" t="s">
        <v>64</v>
      </c>
      <c r="F7" s="3" t="s">
        <v>39</v>
      </c>
      <c r="G7" s="3" t="s">
        <v>65</v>
      </c>
      <c r="H7" s="3" t="s">
        <v>66</v>
      </c>
      <c r="I7" s="3" t="s">
        <v>68</v>
      </c>
      <c r="J7" s="3" t="s">
        <v>49</v>
      </c>
      <c r="K7" s="3" t="s">
        <v>47</v>
      </c>
      <c r="L7" s="3" t="s">
        <v>49</v>
      </c>
      <c r="M7" s="3" t="s">
        <v>70</v>
      </c>
      <c r="N7" s="3">
        <v>282.35000000000002</v>
      </c>
      <c r="O7" s="3" t="s">
        <v>176</v>
      </c>
      <c r="P7" s="3" t="s">
        <v>177</v>
      </c>
      <c r="Q7" s="3" t="s">
        <v>172</v>
      </c>
      <c r="R7" s="3" t="s">
        <v>178</v>
      </c>
      <c r="S7" s="3" t="s">
        <v>179</v>
      </c>
      <c r="T7" s="3" t="s">
        <v>180</v>
      </c>
      <c r="U7" s="3"/>
      <c r="V7" s="3">
        <v>5102</v>
      </c>
      <c r="W7" s="3">
        <v>1</v>
      </c>
      <c r="X7" s="3" t="s">
        <v>157</v>
      </c>
      <c r="Y7" s="3"/>
      <c r="Z7" s="3" t="s">
        <v>175</v>
      </c>
      <c r="AA7" s="3">
        <v>282.35000000000002</v>
      </c>
      <c r="AB7" s="3">
        <f t="shared" si="0"/>
        <v>282.35000000000002</v>
      </c>
      <c r="AC7" s="3">
        <v>10</v>
      </c>
      <c r="AD7" s="3" t="s">
        <v>181</v>
      </c>
      <c r="AE7" s="3">
        <v>0</v>
      </c>
      <c r="AF7" s="3">
        <v>0</v>
      </c>
      <c r="AG7" s="3">
        <v>0</v>
      </c>
      <c r="AH7" s="3">
        <v>282.35000000000002</v>
      </c>
      <c r="AI7" s="3">
        <v>18</v>
      </c>
      <c r="AJ7" s="3">
        <v>50.82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51</v>
      </c>
      <c r="AS7" s="3">
        <v>0</v>
      </c>
      <c r="AT7" s="3">
        <v>0</v>
      </c>
      <c r="AU7" s="3">
        <v>0</v>
      </c>
      <c r="AV7" s="3">
        <v>1</v>
      </c>
      <c r="AW7" s="3">
        <v>282.35000000000002</v>
      </c>
      <c r="AX7" s="3">
        <v>0.65</v>
      </c>
      <c r="AY7" s="3">
        <v>1.84</v>
      </c>
      <c r="AZ7" s="3">
        <v>1</v>
      </c>
      <c r="BA7" s="3">
        <v>282.35000000000002</v>
      </c>
      <c r="BB7" s="3">
        <v>3</v>
      </c>
      <c r="BC7" s="3">
        <v>8.4700000000000006</v>
      </c>
      <c r="BD7" s="3">
        <v>221.22</v>
      </c>
      <c r="BE7" s="3">
        <v>0.9</v>
      </c>
      <c r="BF7" s="3">
        <v>1.99</v>
      </c>
      <c r="BG7" s="3">
        <v>221.22</v>
      </c>
      <c r="BH7" s="3">
        <v>0.1</v>
      </c>
      <c r="BI7" s="3">
        <v>0</v>
      </c>
      <c r="BJ7" s="3">
        <v>0.22</v>
      </c>
      <c r="BK7" s="3">
        <v>0</v>
      </c>
    </row>
    <row r="8" spans="1:63" x14ac:dyDescent="0.25">
      <c r="A8" s="3" t="s">
        <v>35</v>
      </c>
      <c r="B8" s="3" t="s">
        <v>71</v>
      </c>
      <c r="C8" s="3" t="s">
        <v>37</v>
      </c>
      <c r="D8" s="3">
        <v>31161</v>
      </c>
      <c r="E8" s="3" t="s">
        <v>72</v>
      </c>
      <c r="F8" s="3" t="s">
        <v>39</v>
      </c>
      <c r="G8" s="3" t="s">
        <v>73</v>
      </c>
      <c r="H8" s="3" t="s">
        <v>74</v>
      </c>
      <c r="I8" s="3" t="s">
        <v>76</v>
      </c>
      <c r="J8" s="3" t="s">
        <v>78</v>
      </c>
      <c r="K8" s="3" t="s">
        <v>47</v>
      </c>
      <c r="L8" s="3" t="s">
        <v>49</v>
      </c>
      <c r="M8" s="3" t="s">
        <v>80</v>
      </c>
      <c r="N8" s="3">
        <v>10339.299999999999</v>
      </c>
      <c r="O8" s="3" t="s">
        <v>182</v>
      </c>
      <c r="P8" s="3" t="s">
        <v>183</v>
      </c>
      <c r="Q8" s="3" t="s">
        <v>153</v>
      </c>
      <c r="R8" s="3" t="s">
        <v>184</v>
      </c>
      <c r="S8" s="3" t="s">
        <v>185</v>
      </c>
      <c r="T8" s="3"/>
      <c r="U8" s="3"/>
      <c r="V8" s="3">
        <v>6102</v>
      </c>
      <c r="W8" s="3">
        <v>1</v>
      </c>
      <c r="X8" s="3" t="s">
        <v>157</v>
      </c>
      <c r="Y8" s="3"/>
      <c r="Z8" s="3" t="s">
        <v>175</v>
      </c>
      <c r="AA8" s="3">
        <v>10339.299999999999</v>
      </c>
      <c r="AB8" s="3">
        <f t="shared" si="0"/>
        <v>10339.299999999999</v>
      </c>
      <c r="AC8" s="3">
        <v>1320</v>
      </c>
      <c r="AD8" s="3" t="s">
        <v>186</v>
      </c>
      <c r="AE8" s="3">
        <v>0</v>
      </c>
      <c r="AF8" s="3">
        <v>0</v>
      </c>
      <c r="AG8" s="3">
        <v>0</v>
      </c>
      <c r="AH8" s="3">
        <v>10339.299999999999</v>
      </c>
      <c r="AI8" s="3">
        <v>4</v>
      </c>
      <c r="AJ8" s="3">
        <v>413.57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51</v>
      </c>
      <c r="AS8" s="3">
        <v>0</v>
      </c>
      <c r="AT8" s="3">
        <v>0</v>
      </c>
      <c r="AU8" s="3">
        <v>0</v>
      </c>
      <c r="AV8" s="3">
        <v>1</v>
      </c>
      <c r="AW8" s="3">
        <v>9925.73</v>
      </c>
      <c r="AX8" s="3">
        <v>0.65</v>
      </c>
      <c r="AY8" s="3">
        <v>64.52</v>
      </c>
      <c r="AZ8" s="3">
        <v>1</v>
      </c>
      <c r="BA8" s="3">
        <v>9925.73</v>
      </c>
      <c r="BB8" s="3">
        <v>3</v>
      </c>
      <c r="BC8" s="3">
        <v>297.77</v>
      </c>
      <c r="BD8" s="3">
        <v>9563.44</v>
      </c>
      <c r="BE8" s="3">
        <v>0.9</v>
      </c>
      <c r="BF8" s="3">
        <v>86.07</v>
      </c>
      <c r="BG8" s="3">
        <v>9563.44</v>
      </c>
      <c r="BH8" s="3">
        <v>0.1</v>
      </c>
      <c r="BI8" s="3">
        <v>0</v>
      </c>
      <c r="BJ8" s="3">
        <v>9.56</v>
      </c>
      <c r="BK8" s="3">
        <v>0</v>
      </c>
    </row>
    <row r="9" spans="1:63" x14ac:dyDescent="0.25">
      <c r="A9" s="3" t="s">
        <v>35</v>
      </c>
      <c r="B9" s="3" t="s">
        <v>82</v>
      </c>
      <c r="C9" s="3" t="s">
        <v>37</v>
      </c>
      <c r="D9" s="3">
        <v>7987</v>
      </c>
      <c r="E9" s="3" t="s">
        <v>54</v>
      </c>
      <c r="F9" s="3" t="s">
        <v>39</v>
      </c>
      <c r="G9" s="3" t="s">
        <v>83</v>
      </c>
      <c r="H9" s="3" t="s">
        <v>84</v>
      </c>
      <c r="I9" s="3" t="s">
        <v>86</v>
      </c>
      <c r="J9" s="3" t="s">
        <v>78</v>
      </c>
      <c r="K9" s="3" t="s">
        <v>47</v>
      </c>
      <c r="L9" s="3" t="s">
        <v>49</v>
      </c>
      <c r="M9" s="3" t="s">
        <v>89</v>
      </c>
      <c r="N9" s="3">
        <v>9204.7199999999993</v>
      </c>
      <c r="O9" s="3" t="s">
        <v>187</v>
      </c>
      <c r="P9" s="3" t="s">
        <v>188</v>
      </c>
      <c r="Q9" s="3" t="s">
        <v>153</v>
      </c>
      <c r="R9" s="3" t="s">
        <v>189</v>
      </c>
      <c r="S9" s="3" t="s">
        <v>190</v>
      </c>
      <c r="T9" s="3"/>
      <c r="U9" s="3"/>
      <c r="V9" s="3">
        <v>6102</v>
      </c>
      <c r="W9" s="3">
        <v>1</v>
      </c>
      <c r="X9" s="3" t="s">
        <v>157</v>
      </c>
      <c r="Y9" s="3"/>
      <c r="Z9" s="3" t="s">
        <v>175</v>
      </c>
      <c r="AA9" s="3">
        <v>8749.73</v>
      </c>
      <c r="AB9" s="3">
        <f t="shared" si="0"/>
        <v>9204.7199999999993</v>
      </c>
      <c r="AC9" s="3">
        <v>912</v>
      </c>
      <c r="AD9" s="3" t="s">
        <v>158</v>
      </c>
      <c r="AE9" s="3">
        <v>0</v>
      </c>
      <c r="AF9" s="3">
        <v>0</v>
      </c>
      <c r="AG9" s="3">
        <v>0</v>
      </c>
      <c r="AH9" s="3">
        <v>8749.73</v>
      </c>
      <c r="AI9" s="3">
        <v>4</v>
      </c>
      <c r="AJ9" s="3">
        <v>349.99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50</v>
      </c>
      <c r="AS9" s="3">
        <v>8749.73</v>
      </c>
      <c r="AT9" s="3">
        <v>5.2</v>
      </c>
      <c r="AU9" s="3">
        <v>454.99</v>
      </c>
      <c r="AV9" s="3">
        <v>1</v>
      </c>
      <c r="AW9" s="3">
        <v>8749.73</v>
      </c>
      <c r="AX9" s="3">
        <v>0.65</v>
      </c>
      <c r="AY9" s="3">
        <v>56.87</v>
      </c>
      <c r="AZ9" s="3">
        <v>1</v>
      </c>
      <c r="BA9" s="3">
        <v>8749.73</v>
      </c>
      <c r="BB9" s="3">
        <v>3</v>
      </c>
      <c r="BC9" s="3">
        <v>262.49</v>
      </c>
      <c r="BD9" s="3">
        <v>8080.38</v>
      </c>
      <c r="BE9" s="3">
        <v>0.9</v>
      </c>
      <c r="BF9" s="3">
        <v>72.72</v>
      </c>
      <c r="BG9" s="3">
        <v>8080.38</v>
      </c>
      <c r="BH9" s="3">
        <v>0.1</v>
      </c>
      <c r="BI9" s="3">
        <v>0</v>
      </c>
      <c r="BJ9" s="3">
        <v>8.08</v>
      </c>
      <c r="BK9" s="3">
        <v>0</v>
      </c>
    </row>
    <row r="10" spans="1:63" x14ac:dyDescent="0.25">
      <c r="A10" s="3" t="s">
        <v>35</v>
      </c>
      <c r="B10" s="3" t="s">
        <v>91</v>
      </c>
      <c r="C10" s="3" t="s">
        <v>37</v>
      </c>
      <c r="D10" s="3">
        <v>3220</v>
      </c>
      <c r="E10" s="3" t="s">
        <v>38</v>
      </c>
      <c r="F10" s="3" t="s">
        <v>39</v>
      </c>
      <c r="G10" s="3" t="s">
        <v>40</v>
      </c>
      <c r="H10" s="3" t="s">
        <v>92</v>
      </c>
      <c r="I10" s="3" t="s">
        <v>43</v>
      </c>
      <c r="J10" s="3" t="s">
        <v>45</v>
      </c>
      <c r="K10" s="3" t="s">
        <v>47</v>
      </c>
      <c r="L10" s="3" t="s">
        <v>49</v>
      </c>
      <c r="M10" s="3" t="s">
        <v>51</v>
      </c>
      <c r="N10" s="3">
        <v>4050</v>
      </c>
      <c r="O10" s="3" t="s">
        <v>163</v>
      </c>
      <c r="P10" s="3" t="s">
        <v>164</v>
      </c>
      <c r="Q10" s="3" t="s">
        <v>153</v>
      </c>
      <c r="R10" s="3" t="s">
        <v>161</v>
      </c>
      <c r="S10" s="3" t="s">
        <v>165</v>
      </c>
      <c r="T10" s="3"/>
      <c r="U10" s="3"/>
      <c r="V10" s="3">
        <v>6102</v>
      </c>
      <c r="W10" s="3">
        <v>1</v>
      </c>
      <c r="X10" s="3" t="s">
        <v>157</v>
      </c>
      <c r="Y10" s="3"/>
      <c r="Z10" s="3"/>
      <c r="AA10" s="3">
        <v>4050</v>
      </c>
      <c r="AB10" s="3">
        <f t="shared" si="0"/>
        <v>4050</v>
      </c>
      <c r="AC10" s="3">
        <v>500</v>
      </c>
      <c r="AD10" s="3" t="s">
        <v>158</v>
      </c>
      <c r="AE10" s="3">
        <v>0</v>
      </c>
      <c r="AF10" s="3">
        <v>0</v>
      </c>
      <c r="AG10" s="3">
        <v>0</v>
      </c>
      <c r="AH10" s="3">
        <v>4050</v>
      </c>
      <c r="AI10" s="3">
        <v>4</v>
      </c>
      <c r="AJ10" s="3">
        <v>162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51</v>
      </c>
      <c r="AS10" s="3">
        <v>0</v>
      </c>
      <c r="AT10" s="3">
        <v>0</v>
      </c>
      <c r="AU10" s="3">
        <v>0</v>
      </c>
      <c r="AV10" s="3">
        <v>1</v>
      </c>
      <c r="AW10" s="3">
        <v>4050</v>
      </c>
      <c r="AX10" s="3">
        <v>0.65</v>
      </c>
      <c r="AY10" s="3">
        <v>26.32</v>
      </c>
      <c r="AZ10" s="3">
        <v>1</v>
      </c>
      <c r="BA10" s="3">
        <v>4050</v>
      </c>
      <c r="BB10" s="3">
        <v>3</v>
      </c>
      <c r="BC10" s="3">
        <v>121.5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</row>
    <row r="11" spans="1:63" x14ac:dyDescent="0.25">
      <c r="A11" s="3" t="s">
        <v>35</v>
      </c>
      <c r="B11" s="3" t="s">
        <v>94</v>
      </c>
      <c r="C11" s="3" t="s">
        <v>37</v>
      </c>
      <c r="D11" s="3">
        <v>3687</v>
      </c>
      <c r="E11" s="3" t="s">
        <v>64</v>
      </c>
      <c r="F11" s="3" t="s">
        <v>39</v>
      </c>
      <c r="G11" s="3" t="s">
        <v>95</v>
      </c>
      <c r="H11" s="3" t="s">
        <v>96</v>
      </c>
      <c r="I11" s="3" t="s">
        <v>98</v>
      </c>
      <c r="J11" s="3" t="s">
        <v>49</v>
      </c>
      <c r="K11" s="3" t="s">
        <v>47</v>
      </c>
      <c r="L11" s="3" t="s">
        <v>49</v>
      </c>
      <c r="M11" s="3" t="s">
        <v>70</v>
      </c>
      <c r="N11" s="3">
        <v>5400</v>
      </c>
      <c r="O11" s="3" t="s">
        <v>191</v>
      </c>
      <c r="P11" s="3" t="s">
        <v>192</v>
      </c>
      <c r="Q11" s="3" t="s">
        <v>153</v>
      </c>
      <c r="R11" s="3" t="s">
        <v>193</v>
      </c>
      <c r="S11" s="3" t="s">
        <v>179</v>
      </c>
      <c r="T11" s="3"/>
      <c r="U11" s="3"/>
      <c r="V11" s="3">
        <v>5102</v>
      </c>
      <c r="W11" s="3">
        <v>0</v>
      </c>
      <c r="X11" s="3" t="s">
        <v>157</v>
      </c>
      <c r="Y11" s="3"/>
      <c r="Z11" s="3" t="s">
        <v>175</v>
      </c>
      <c r="AA11" s="3">
        <v>5400</v>
      </c>
      <c r="AB11" s="3">
        <f t="shared" si="0"/>
        <v>5400</v>
      </c>
      <c r="AC11" s="3">
        <v>600</v>
      </c>
      <c r="AD11" s="3" t="s">
        <v>181</v>
      </c>
      <c r="AE11" s="3">
        <v>0</v>
      </c>
      <c r="AF11" s="3">
        <v>0</v>
      </c>
      <c r="AG11" s="3">
        <v>0</v>
      </c>
      <c r="AH11" s="3">
        <v>5400</v>
      </c>
      <c r="AI11" s="3">
        <v>18</v>
      </c>
      <c r="AJ11" s="3">
        <v>972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53</v>
      </c>
      <c r="AS11" s="3">
        <v>0</v>
      </c>
      <c r="AT11" s="3">
        <v>0</v>
      </c>
      <c r="AU11" s="3">
        <v>0</v>
      </c>
      <c r="AV11" s="3">
        <v>1</v>
      </c>
      <c r="AW11" s="3">
        <v>4428</v>
      </c>
      <c r="AX11" s="3">
        <v>0.65</v>
      </c>
      <c r="AY11" s="3">
        <v>28.78</v>
      </c>
      <c r="AZ11" s="3">
        <v>1</v>
      </c>
      <c r="BA11" s="3">
        <v>4428</v>
      </c>
      <c r="BB11" s="3">
        <v>3</v>
      </c>
      <c r="BC11" s="3">
        <v>132.84</v>
      </c>
      <c r="BD11" s="3">
        <v>4266.38</v>
      </c>
      <c r="BE11" s="3">
        <v>0.9</v>
      </c>
      <c r="BF11" s="3">
        <v>38.4</v>
      </c>
      <c r="BG11" s="3">
        <v>4266.38</v>
      </c>
      <c r="BH11" s="3">
        <v>0.1</v>
      </c>
      <c r="BI11" s="3">
        <v>0</v>
      </c>
      <c r="BJ11" s="3">
        <v>4.2699999999999996</v>
      </c>
      <c r="BK11" s="3">
        <v>0</v>
      </c>
    </row>
    <row r="12" spans="1:63" x14ac:dyDescent="0.25">
      <c r="A12" s="3" t="s">
        <v>35</v>
      </c>
      <c r="B12" s="3" t="s">
        <v>94</v>
      </c>
      <c r="C12" s="3" t="s">
        <v>37</v>
      </c>
      <c r="D12" s="3">
        <v>1889</v>
      </c>
      <c r="E12" s="3" t="s">
        <v>38</v>
      </c>
      <c r="F12" s="3" t="s">
        <v>39</v>
      </c>
      <c r="G12" s="3" t="s">
        <v>103</v>
      </c>
      <c r="H12" s="3" t="s">
        <v>104</v>
      </c>
      <c r="I12" s="3" t="s">
        <v>106</v>
      </c>
      <c r="J12" s="3" t="s">
        <v>49</v>
      </c>
      <c r="K12" s="3" t="s">
        <v>47</v>
      </c>
      <c r="L12" s="3" t="s">
        <v>49</v>
      </c>
      <c r="M12" s="3" t="s">
        <v>70</v>
      </c>
      <c r="N12" s="3">
        <v>177</v>
      </c>
      <c r="O12" s="3" t="s">
        <v>194</v>
      </c>
      <c r="P12" s="3" t="s">
        <v>195</v>
      </c>
      <c r="Q12" s="3" t="s">
        <v>172</v>
      </c>
      <c r="R12" s="3" t="s">
        <v>196</v>
      </c>
      <c r="S12" s="3" t="s">
        <v>179</v>
      </c>
      <c r="T12" s="3"/>
      <c r="U12" s="3"/>
      <c r="V12" s="3">
        <v>5102</v>
      </c>
      <c r="W12" s="3">
        <v>0</v>
      </c>
      <c r="X12" s="3"/>
      <c r="Y12" s="3" t="s">
        <v>197</v>
      </c>
      <c r="Z12" s="3"/>
      <c r="AA12" s="3">
        <v>177</v>
      </c>
      <c r="AB12" s="3">
        <f t="shared" si="0"/>
        <v>177</v>
      </c>
      <c r="AC12" s="3">
        <v>2</v>
      </c>
      <c r="AD12" s="3" t="s">
        <v>198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2.75</v>
      </c>
      <c r="AL12" s="3">
        <v>4.87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53</v>
      </c>
      <c r="AS12" s="3">
        <v>0</v>
      </c>
      <c r="AT12" s="3">
        <v>0</v>
      </c>
      <c r="AU12" s="3">
        <v>0</v>
      </c>
      <c r="AV12" s="3">
        <v>8</v>
      </c>
      <c r="AW12" s="3">
        <v>0</v>
      </c>
      <c r="AX12" s="3">
        <v>0</v>
      </c>
      <c r="AY12" s="3">
        <v>0</v>
      </c>
      <c r="AZ12" s="3">
        <v>8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</row>
    <row r="13" spans="1:63" x14ac:dyDescent="0.25">
      <c r="A13" s="3" t="s">
        <v>35</v>
      </c>
      <c r="B13" s="3" t="s">
        <v>94</v>
      </c>
      <c r="C13" s="3" t="s">
        <v>37</v>
      </c>
      <c r="D13" s="3">
        <v>3251</v>
      </c>
      <c r="E13" s="3" t="s">
        <v>38</v>
      </c>
      <c r="F13" s="3" t="s">
        <v>39</v>
      </c>
      <c r="G13" s="3" t="s">
        <v>40</v>
      </c>
      <c r="H13" s="3" t="s">
        <v>101</v>
      </c>
      <c r="I13" s="3" t="s">
        <v>43</v>
      </c>
      <c r="J13" s="3" t="s">
        <v>45</v>
      </c>
      <c r="K13" s="3" t="s">
        <v>47</v>
      </c>
      <c r="L13" s="3" t="s">
        <v>49</v>
      </c>
      <c r="M13" s="3" t="s">
        <v>51</v>
      </c>
      <c r="N13" s="3">
        <v>9572.85</v>
      </c>
      <c r="O13" s="3" t="s">
        <v>199</v>
      </c>
      <c r="P13" s="3" t="s">
        <v>200</v>
      </c>
      <c r="Q13" s="3" t="s">
        <v>153</v>
      </c>
      <c r="R13" s="3" t="s">
        <v>154</v>
      </c>
      <c r="S13" s="3" t="s">
        <v>201</v>
      </c>
      <c r="T13" s="3" t="s">
        <v>156</v>
      </c>
      <c r="U13" s="3"/>
      <c r="V13" s="3">
        <v>6102</v>
      </c>
      <c r="W13" s="3">
        <v>1</v>
      </c>
      <c r="X13" s="3" t="s">
        <v>157</v>
      </c>
      <c r="Y13" s="3"/>
      <c r="Z13" s="3"/>
      <c r="AA13" s="3">
        <v>1413</v>
      </c>
      <c r="AB13" s="3">
        <f t="shared" si="0"/>
        <v>1504.84</v>
      </c>
      <c r="AC13" s="3">
        <v>180</v>
      </c>
      <c r="AD13" s="3" t="s">
        <v>158</v>
      </c>
      <c r="AE13" s="3">
        <v>0</v>
      </c>
      <c r="AF13" s="3">
        <v>0</v>
      </c>
      <c r="AG13" s="3">
        <v>0</v>
      </c>
      <c r="AH13" s="3">
        <v>1413</v>
      </c>
      <c r="AI13" s="3">
        <v>4</v>
      </c>
      <c r="AJ13" s="3">
        <v>56.52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50</v>
      </c>
      <c r="AS13" s="3">
        <v>1413</v>
      </c>
      <c r="AT13" s="3">
        <v>6.5</v>
      </c>
      <c r="AU13" s="3">
        <v>91.84</v>
      </c>
      <c r="AV13" s="3">
        <v>1</v>
      </c>
      <c r="AW13" s="3">
        <v>1413</v>
      </c>
      <c r="AX13" s="3">
        <v>0.65</v>
      </c>
      <c r="AY13" s="3">
        <v>9.18</v>
      </c>
      <c r="AZ13" s="3">
        <v>1</v>
      </c>
      <c r="BA13" s="3">
        <v>1413</v>
      </c>
      <c r="BB13" s="3">
        <v>3</v>
      </c>
      <c r="BC13" s="3">
        <v>42.39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</row>
    <row r="14" spans="1:63" x14ac:dyDescent="0.25">
      <c r="A14" s="3" t="s">
        <v>35</v>
      </c>
      <c r="B14" s="3" t="s">
        <v>94</v>
      </c>
      <c r="C14" s="3" t="s">
        <v>37</v>
      </c>
      <c r="D14" s="3">
        <v>3251</v>
      </c>
      <c r="E14" s="3" t="s">
        <v>38</v>
      </c>
      <c r="F14" s="3" t="s">
        <v>39</v>
      </c>
      <c r="G14" s="3" t="s">
        <v>40</v>
      </c>
      <c r="H14" s="3" t="s">
        <v>101</v>
      </c>
      <c r="I14" s="3" t="s">
        <v>43</v>
      </c>
      <c r="J14" s="3" t="s">
        <v>45</v>
      </c>
      <c r="K14" s="3" t="s">
        <v>47</v>
      </c>
      <c r="L14" s="3" t="s">
        <v>49</v>
      </c>
      <c r="M14" s="3" t="s">
        <v>51</v>
      </c>
      <c r="N14" s="3"/>
      <c r="O14" s="3" t="s">
        <v>151</v>
      </c>
      <c r="P14" s="3" t="s">
        <v>152</v>
      </c>
      <c r="Q14" s="3" t="s">
        <v>153</v>
      </c>
      <c r="R14" s="3" t="s">
        <v>154</v>
      </c>
      <c r="S14" s="3" t="s">
        <v>155</v>
      </c>
      <c r="T14" s="3" t="s">
        <v>156</v>
      </c>
      <c r="U14" s="3"/>
      <c r="V14" s="3">
        <v>6102</v>
      </c>
      <c r="W14" s="3">
        <v>1</v>
      </c>
      <c r="X14" s="3" t="s">
        <v>157</v>
      </c>
      <c r="Y14" s="3"/>
      <c r="Z14" s="3"/>
      <c r="AA14" s="3">
        <v>3309.6</v>
      </c>
      <c r="AB14" s="3">
        <f t="shared" si="0"/>
        <v>3524.72</v>
      </c>
      <c r="AC14" s="3">
        <v>336</v>
      </c>
      <c r="AD14" s="3" t="s">
        <v>158</v>
      </c>
      <c r="AE14" s="3">
        <v>0</v>
      </c>
      <c r="AF14" s="3">
        <v>0</v>
      </c>
      <c r="AG14" s="3">
        <v>0</v>
      </c>
      <c r="AH14" s="3">
        <v>3309.6</v>
      </c>
      <c r="AI14" s="3">
        <v>4</v>
      </c>
      <c r="AJ14" s="3">
        <v>132.38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50</v>
      </c>
      <c r="AS14" s="3">
        <v>3309.6</v>
      </c>
      <c r="AT14" s="3">
        <v>6.5</v>
      </c>
      <c r="AU14" s="3">
        <v>215.12</v>
      </c>
      <c r="AV14" s="3">
        <v>1</v>
      </c>
      <c r="AW14" s="3">
        <v>3309.6</v>
      </c>
      <c r="AX14" s="3">
        <v>0.65</v>
      </c>
      <c r="AY14" s="3">
        <v>21.51</v>
      </c>
      <c r="AZ14" s="3">
        <v>1</v>
      </c>
      <c r="BA14" s="3">
        <v>3309.6</v>
      </c>
      <c r="BB14" s="3">
        <v>3</v>
      </c>
      <c r="BC14" s="3">
        <v>99.29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</row>
    <row r="15" spans="1:63" x14ac:dyDescent="0.25">
      <c r="A15" s="3" t="s">
        <v>35</v>
      </c>
      <c r="B15" s="3" t="s">
        <v>94</v>
      </c>
      <c r="C15" s="3" t="s">
        <v>37</v>
      </c>
      <c r="D15" s="3">
        <v>3251</v>
      </c>
      <c r="E15" s="3" t="s">
        <v>38</v>
      </c>
      <c r="F15" s="3" t="s">
        <v>39</v>
      </c>
      <c r="G15" s="3" t="s">
        <v>40</v>
      </c>
      <c r="H15" s="3" t="s">
        <v>101</v>
      </c>
      <c r="I15" s="3" t="s">
        <v>43</v>
      </c>
      <c r="J15" s="3" t="s">
        <v>45</v>
      </c>
      <c r="K15" s="3" t="s">
        <v>47</v>
      </c>
      <c r="L15" s="3" t="s">
        <v>49</v>
      </c>
      <c r="M15" s="3" t="s">
        <v>51</v>
      </c>
      <c r="N15" s="3"/>
      <c r="O15" s="3" t="s">
        <v>202</v>
      </c>
      <c r="P15" s="3" t="s">
        <v>203</v>
      </c>
      <c r="Q15" s="3" t="s">
        <v>153</v>
      </c>
      <c r="R15" s="3" t="s">
        <v>154</v>
      </c>
      <c r="S15" s="3" t="s">
        <v>204</v>
      </c>
      <c r="T15" s="3" t="s">
        <v>156</v>
      </c>
      <c r="U15" s="3"/>
      <c r="V15" s="3">
        <v>6102</v>
      </c>
      <c r="W15" s="3">
        <v>1</v>
      </c>
      <c r="X15" s="3" t="s">
        <v>157</v>
      </c>
      <c r="Y15" s="3"/>
      <c r="Z15" s="3"/>
      <c r="AA15" s="3">
        <v>4266</v>
      </c>
      <c r="AB15" s="3">
        <f t="shared" si="0"/>
        <v>4543.29</v>
      </c>
      <c r="AC15" s="3">
        <v>360</v>
      </c>
      <c r="AD15" s="3" t="s">
        <v>158</v>
      </c>
      <c r="AE15" s="3">
        <v>0</v>
      </c>
      <c r="AF15" s="3">
        <v>0</v>
      </c>
      <c r="AG15" s="3">
        <v>0</v>
      </c>
      <c r="AH15" s="3">
        <v>4266</v>
      </c>
      <c r="AI15" s="3">
        <v>4</v>
      </c>
      <c r="AJ15" s="3">
        <v>170.64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50</v>
      </c>
      <c r="AS15" s="3">
        <v>4266</v>
      </c>
      <c r="AT15" s="3">
        <v>6.5</v>
      </c>
      <c r="AU15" s="3">
        <v>277.29000000000002</v>
      </c>
      <c r="AV15" s="3">
        <v>1</v>
      </c>
      <c r="AW15" s="3">
        <v>4266</v>
      </c>
      <c r="AX15" s="3">
        <v>0.65</v>
      </c>
      <c r="AY15" s="3">
        <v>27.73</v>
      </c>
      <c r="AZ15" s="3">
        <v>1</v>
      </c>
      <c r="BA15" s="3">
        <v>4266</v>
      </c>
      <c r="BB15" s="3">
        <v>3</v>
      </c>
      <c r="BC15" s="3">
        <v>127.98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 Detalhado por Nota</vt:lpstr>
      <vt:lpstr>Planilha1</vt:lpstr>
      <vt:lpstr>Relatório Detalhado por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PANTAX CONTABIL</cp:lastModifiedBy>
  <cp:revision>0</cp:revision>
  <dcterms:created xsi:type="dcterms:W3CDTF">2026-07-21T20:28:10Z</dcterms:created>
  <dcterms:modified xsi:type="dcterms:W3CDTF">2026-07-21T20:35:01Z</dcterms:modified>
  <cp:category/>
  <dc:language/>
</cp:coreProperties>
</file>