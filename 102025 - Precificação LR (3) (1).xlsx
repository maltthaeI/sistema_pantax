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LopesCorrea\Downloads\"/>
    </mc:Choice>
  </mc:AlternateContent>
  <xr:revisionPtr revIDLastSave="0" documentId="13_ncr:1_{645BCB01-6186-4C02-B4CB-9090DB545DB5}" xr6:coauthVersionLast="47" xr6:coauthVersionMax="47" xr10:uidLastSave="{00000000-0000-0000-0000-000000000000}"/>
  <bookViews>
    <workbookView xWindow="28680" yWindow="-945" windowWidth="29040" windowHeight="15720" xr2:uid="{ADFCCC11-294F-4A9C-9871-40A27BACA62B}"/>
  </bookViews>
  <sheets>
    <sheet name="Lucro Re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G22" i="1" s="1"/>
  <c r="O12" i="1" s="1"/>
  <c r="O7" i="1"/>
  <c r="G6" i="1"/>
  <c r="K5" i="1" s="1"/>
  <c r="G7" i="1"/>
  <c r="K9" i="1" s="1"/>
  <c r="K17" i="1" s="1"/>
  <c r="G15" i="1"/>
  <c r="K6" i="1" s="1"/>
  <c r="G32" i="1"/>
  <c r="K7" i="1" s="1"/>
  <c r="G36" i="1"/>
  <c r="O5" i="1"/>
  <c r="G31" i="1" l="1"/>
  <c r="K13" i="1" s="1"/>
  <c r="G8" i="1"/>
  <c r="K11" i="1" s="1"/>
  <c r="K8" i="1"/>
  <c r="G16" i="1"/>
  <c r="G9" i="1" l="1"/>
  <c r="G11" i="1" s="1"/>
  <c r="G17" i="1"/>
  <c r="G18" i="1" s="1"/>
  <c r="K12" i="1"/>
  <c r="K14" i="1" s="1"/>
  <c r="K16" i="1" s="1"/>
  <c r="K21" i="1" l="1"/>
  <c r="O9" i="1" s="1"/>
  <c r="O14" i="1" s="1"/>
  <c r="O15" i="1" s="1"/>
  <c r="G19" i="1"/>
  <c r="G35" i="1" s="1"/>
  <c r="G39" i="1" s="1"/>
  <c r="G40" i="1" s="1"/>
  <c r="O17" i="1" s="1"/>
  <c r="G41" i="1" l="1"/>
  <c r="O18" i="1" l="1"/>
  <c r="O25" i="1" s="1"/>
  <c r="O26" i="1" s="1"/>
  <c r="O20" i="1"/>
  <c r="O21" i="1" s="1"/>
  <c r="G44" i="1"/>
  <c r="G47" i="1" s="1"/>
  <c r="G48" i="1" s="1"/>
</calcChain>
</file>

<file path=xl/sharedStrings.xml><?xml version="1.0" encoding="utf-8"?>
<sst xmlns="http://schemas.openxmlformats.org/spreadsheetml/2006/main" count="64" uniqueCount="61">
  <si>
    <t>ICMS VENDA</t>
  </si>
  <si>
    <t>ICMS COMPRA</t>
  </si>
  <si>
    <t>ICMS FRETE</t>
  </si>
  <si>
    <t>DIFAL ICMS</t>
  </si>
  <si>
    <t>Receita Líquita de venda</t>
  </si>
  <si>
    <t>CMV</t>
  </si>
  <si>
    <t>Crédito de ICMS</t>
  </si>
  <si>
    <t>LUCRO LÍQUIDO</t>
  </si>
  <si>
    <t>Crédidto de PIS/COFINS</t>
  </si>
  <si>
    <t>Total de crédito</t>
  </si>
  <si>
    <t>Lucro Bruto</t>
  </si>
  <si>
    <t>Frete</t>
  </si>
  <si>
    <t>Crédito de PIS/COFINS  despesas</t>
  </si>
  <si>
    <t>Crédito de ICMS Frete</t>
  </si>
  <si>
    <t>Lucro Líquido</t>
  </si>
  <si>
    <t>Lucro Líquido  Contábil</t>
  </si>
  <si>
    <t>Margem Liquida Contábil</t>
  </si>
  <si>
    <t>Margem Líquida</t>
  </si>
  <si>
    <t>Apuração Contábil</t>
  </si>
  <si>
    <t>Apuração Financeira</t>
  </si>
  <si>
    <t>Saldo Credor / ICMS a Pagar</t>
  </si>
  <si>
    <t>SP</t>
  </si>
  <si>
    <t>Preço de Venda</t>
  </si>
  <si>
    <t>ICMS na Venda</t>
  </si>
  <si>
    <t>ICMS DIFAL na venda</t>
  </si>
  <si>
    <t>Margem de Contribuição</t>
  </si>
  <si>
    <t>Margem de Contribuição (%)</t>
  </si>
  <si>
    <t>Despesas da operação</t>
  </si>
  <si>
    <t>Base de Calculo de IRPJ/CSLL</t>
  </si>
  <si>
    <t>Valor de IRPJ</t>
  </si>
  <si>
    <t>Valor de CSLL</t>
  </si>
  <si>
    <t>Total de Impostos sobre Lucro</t>
  </si>
  <si>
    <t>Despesas de Vendas</t>
  </si>
  <si>
    <t xml:space="preserve">Apuração de Impostos </t>
  </si>
  <si>
    <t>PIS/COFINS sobre a venda</t>
  </si>
  <si>
    <t>PIS/COFINS sobre a Compras</t>
  </si>
  <si>
    <t>PIS/COFINS sobre as despesas de Venda</t>
  </si>
  <si>
    <t>Saldo credor / Valor a Pagar de PIS/COFINS</t>
  </si>
  <si>
    <t>Total de Impostos a Pagar de ICMS , PIS e COFINS</t>
  </si>
  <si>
    <t xml:space="preserve">Total de DIFAL de ICMS </t>
  </si>
  <si>
    <t xml:space="preserve">Total de Impostos </t>
  </si>
  <si>
    <t>Vai pagar o Difal  1 = Sim, 2 = Não</t>
  </si>
  <si>
    <t>Preço de Compras</t>
  </si>
  <si>
    <t>Total Impostos a pagar</t>
  </si>
  <si>
    <t xml:space="preserve">Despesas de Vendas </t>
  </si>
  <si>
    <t>Ads</t>
  </si>
  <si>
    <t>Total de impostos a Pagar</t>
  </si>
  <si>
    <t xml:space="preserve">Alíquota de final de Impostos </t>
  </si>
  <si>
    <t>IRPJ a Pagar</t>
  </si>
  <si>
    <t>CSLL a Pagar</t>
  </si>
  <si>
    <t>Total de Impostos na Venda</t>
  </si>
  <si>
    <t>PIS/COFINS na venda</t>
  </si>
  <si>
    <t>Preço de Compra</t>
  </si>
  <si>
    <t>Legenda</t>
  </si>
  <si>
    <t xml:space="preserve">Difal de ICMS </t>
  </si>
  <si>
    <t xml:space="preserve">Venda para do Estado com produto importado - TODOS OS ESTADOS </t>
  </si>
  <si>
    <t>Venda para fora  Estado com produto nacional - Regiao Norte, Nordeste e Centroeste</t>
  </si>
  <si>
    <t>Venda para fora  Estado com produto nacional - Regiao Sul e Sudeste</t>
  </si>
  <si>
    <t>Taxa Comissão</t>
  </si>
  <si>
    <t>Taxa  Pedido</t>
  </si>
  <si>
    <t>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</si>
</sst>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Protection="1">
      <protection locked="0"/>
    </xf>
    <xf numFmtId="44" fontId="0" fillId="0" borderId="0" xfId="1" applyFont="1" applyProtection="1">
      <protection locked="0"/>
    </xf>
    <xf numFmtId="44" fontId="0" fillId="0" borderId="0" xfId="0" applyNumberFormat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44" fontId="2" fillId="3" borderId="1" xfId="1" applyFont="1" applyFill="1" applyBorder="1" applyProtection="1">
      <protection locked="0"/>
    </xf>
    <xf numFmtId="0" fontId="0" fillId="0" borderId="1" xfId="0" applyBorder="1" applyProtection="1">
      <protection locked="0"/>
    </xf>
    <xf numFmtId="10" fontId="2" fillId="3" borderId="1" xfId="2" applyNumberFormat="1" applyFont="1" applyFill="1" applyBorder="1" applyProtection="1">
      <protection locked="0"/>
    </xf>
    <xf numFmtId="44" fontId="0" fillId="0" borderId="1" xfId="1" applyFont="1" applyBorder="1" applyProtection="1">
      <protection locked="0"/>
    </xf>
    <xf numFmtId="10" fontId="0" fillId="0" borderId="1" xfId="2" applyNumberFormat="1" applyFont="1" applyBorder="1" applyProtection="1">
      <protection locked="0"/>
    </xf>
    <xf numFmtId="9" fontId="0" fillId="0" borderId="0" xfId="2" applyFont="1" applyProtection="1">
      <protection locked="0"/>
    </xf>
    <xf numFmtId="10" fontId="0" fillId="0" borderId="0" xfId="2" applyNumberFormat="1" applyFont="1" applyProtection="1">
      <protection locked="0"/>
    </xf>
    <xf numFmtId="0" fontId="2" fillId="0" borderId="0" xfId="0" applyFont="1" applyProtection="1">
      <protection locked="0"/>
    </xf>
    <xf numFmtId="10" fontId="2" fillId="0" borderId="0" xfId="2" applyNumberFormat="1" applyFont="1" applyProtection="1">
      <protection locked="0"/>
    </xf>
    <xf numFmtId="44" fontId="2" fillId="0" borderId="0" xfId="1" applyFont="1" applyProtection="1">
      <protection locked="0"/>
    </xf>
    <xf numFmtId="0" fontId="2" fillId="3" borderId="1" xfId="1" applyNumberFormat="1" applyFont="1" applyFill="1" applyBorder="1" applyProtection="1">
      <protection locked="0"/>
    </xf>
    <xf numFmtId="10" fontId="2" fillId="3" borderId="0" xfId="2" applyNumberFormat="1" applyFont="1" applyFill="1" applyProtection="1">
      <protection locked="0"/>
    </xf>
    <xf numFmtId="10" fontId="0" fillId="0" borderId="0" xfId="2" applyNumberFormat="1" applyFont="1" applyBorder="1" applyProtection="1">
      <protection locked="0"/>
    </xf>
    <xf numFmtId="44" fontId="0" fillId="0" borderId="0" xfId="1" applyFont="1" applyBorder="1" applyProtection="1">
      <protection locked="0"/>
    </xf>
    <xf numFmtId="44" fontId="0" fillId="0" borderId="0" xfId="1" quotePrefix="1" applyFont="1" applyBorder="1" applyProtection="1">
      <protection locked="0"/>
    </xf>
    <xf numFmtId="0" fontId="2" fillId="0" borderId="2" xfId="0" applyFont="1" applyBorder="1" applyAlignment="1" applyProtection="1">
      <alignment horizontal="center" wrapText="1"/>
    </xf>
    <xf numFmtId="0" fontId="2" fillId="0" borderId="3" xfId="0" applyFont="1" applyBorder="1" applyAlignment="1" applyProtection="1">
      <alignment horizontal="center" wrapText="1"/>
    </xf>
    <xf numFmtId="0" fontId="0" fillId="0" borderId="1" xfId="0" applyBorder="1" applyProtection="1"/>
    <xf numFmtId="44" fontId="0" fillId="0" borderId="1" xfId="1" applyFont="1" applyBorder="1" applyProtection="1"/>
    <xf numFmtId="10" fontId="0" fillId="0" borderId="1" xfId="2" applyNumberFormat="1" applyFont="1" applyBorder="1" applyProtection="1"/>
    <xf numFmtId="44" fontId="2" fillId="0" borderId="0" xfId="1" applyFont="1" applyProtection="1"/>
    <xf numFmtId="0" fontId="2" fillId="0" borderId="0" xfId="0" applyFont="1" applyProtection="1"/>
    <xf numFmtId="0" fontId="0" fillId="0" borderId="0" xfId="0" applyProtection="1"/>
    <xf numFmtId="9" fontId="0" fillId="0" borderId="0" xfId="0" applyNumberFormat="1" applyProtection="1"/>
    <xf numFmtId="44" fontId="0" fillId="0" borderId="0" xfId="0" applyNumberFormat="1" applyProtection="1"/>
    <xf numFmtId="44" fontId="0" fillId="0" borderId="0" xfId="1" applyFont="1" applyProtection="1"/>
    <xf numFmtId="0" fontId="2" fillId="2" borderId="0" xfId="0" applyFont="1" applyFill="1" applyAlignment="1" applyProtection="1">
      <alignment horizontal="center"/>
    </xf>
    <xf numFmtId="44" fontId="0" fillId="0" borderId="1" xfId="0" applyNumberFormat="1" applyBorder="1" applyProtection="1"/>
    <xf numFmtId="0" fontId="2" fillId="0" borderId="1" xfId="0" applyFont="1" applyBorder="1" applyProtection="1"/>
    <xf numFmtId="44" fontId="2" fillId="0" borderId="1" xfId="0" applyNumberFormat="1" applyFont="1" applyBorder="1" applyProtection="1"/>
    <xf numFmtId="10" fontId="2" fillId="0" borderId="1" xfId="2" applyNumberFormat="1" applyFont="1" applyBorder="1" applyProtection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3C7B9-6A11-4710-A4AF-28682C8B3132}">
  <dimension ref="A1:R51"/>
  <sheetViews>
    <sheetView showGridLines="0" tabSelected="1" zoomScale="120" zoomScaleNormal="120" workbookViewId="0">
      <selection activeCell="B19" sqref="B19"/>
    </sheetView>
  </sheetViews>
  <sheetFormatPr defaultColWidth="0" defaultRowHeight="14.4" zeroHeight="1" x14ac:dyDescent="0.3"/>
  <cols>
    <col min="1" max="1" width="8.88671875" style="1" customWidth="1"/>
    <col min="2" max="2" width="72.44140625" style="1" bestFit="1" customWidth="1"/>
    <col min="3" max="3" width="4.6640625" style="1" bestFit="1" customWidth="1"/>
    <col min="4" max="4" width="8.88671875" style="1" customWidth="1"/>
    <col min="5" max="5" width="29" style="1" bestFit="1" customWidth="1"/>
    <col min="6" max="6" width="7.44140625" style="11" bestFit="1" customWidth="1"/>
    <col min="7" max="7" width="14.5546875" style="2" bestFit="1" customWidth="1"/>
    <col min="8" max="8" width="9.33203125" style="27" bestFit="1" customWidth="1"/>
    <col min="9" max="9" width="8.88671875" style="27" customWidth="1"/>
    <col min="10" max="10" width="42.21875" style="1" bestFit="1" customWidth="1"/>
    <col min="11" max="11" width="13.44140625" style="1" bestFit="1" customWidth="1"/>
    <col min="12" max="12" width="16.21875" style="27" bestFit="1" customWidth="1"/>
    <col min="13" max="13" width="13.44140625" style="27" bestFit="1" customWidth="1"/>
    <col min="14" max="14" width="26.88671875" style="1" bestFit="1" customWidth="1"/>
    <col min="15" max="15" width="14.5546875" style="1" bestFit="1" customWidth="1"/>
    <col min="16" max="17" width="8.88671875" style="1" hidden="1"/>
    <col min="18" max="18" width="9.33203125" style="1" hidden="1"/>
    <col min="19" max="16384" width="8.88671875" style="1" hidden="1"/>
  </cols>
  <sheetData>
    <row r="1" spans="1:18" x14ac:dyDescent="0.3">
      <c r="A1" s="27"/>
      <c r="B1" s="27"/>
      <c r="C1" s="27"/>
      <c r="D1" s="27"/>
      <c r="J1" s="27"/>
      <c r="K1" s="27"/>
      <c r="N1" s="27"/>
      <c r="O1" s="27"/>
    </row>
    <row r="2" spans="1:18" x14ac:dyDescent="0.3">
      <c r="A2" s="27"/>
      <c r="B2" s="27"/>
      <c r="C2" s="27"/>
      <c r="D2" s="27"/>
      <c r="E2" s="4" t="s">
        <v>18</v>
      </c>
      <c r="F2" s="4"/>
      <c r="G2" s="4"/>
      <c r="J2" s="31" t="s">
        <v>33</v>
      </c>
      <c r="K2" s="31"/>
      <c r="N2" s="31" t="s">
        <v>19</v>
      </c>
      <c r="O2" s="31"/>
    </row>
    <row r="3" spans="1:18" x14ac:dyDescent="0.3">
      <c r="A3" s="27"/>
      <c r="B3" s="27"/>
      <c r="C3" s="27"/>
      <c r="D3" s="27"/>
      <c r="J3" s="27"/>
      <c r="K3" s="27"/>
      <c r="N3" s="27"/>
      <c r="O3" s="27"/>
    </row>
    <row r="4" spans="1:18" x14ac:dyDescent="0.3">
      <c r="A4" s="27"/>
      <c r="B4" s="27"/>
      <c r="C4" s="27"/>
      <c r="D4" s="27"/>
      <c r="J4" s="27"/>
      <c r="K4" s="27"/>
      <c r="N4" s="27"/>
      <c r="O4" s="27"/>
    </row>
    <row r="5" spans="1:18" x14ac:dyDescent="0.3">
      <c r="A5" s="27"/>
      <c r="B5" s="27" t="s">
        <v>53</v>
      </c>
      <c r="C5" s="27"/>
      <c r="D5" s="27"/>
      <c r="E5" s="20" t="s">
        <v>22</v>
      </c>
      <c r="F5" s="21"/>
      <c r="G5" s="5">
        <v>500</v>
      </c>
      <c r="J5" s="22" t="s">
        <v>0</v>
      </c>
      <c r="K5" s="32">
        <f>$G$6</f>
        <v>90</v>
      </c>
      <c r="N5" s="22" t="s">
        <v>22</v>
      </c>
      <c r="O5" s="32">
        <f>G5</f>
        <v>500</v>
      </c>
    </row>
    <row r="6" spans="1:18" x14ac:dyDescent="0.3">
      <c r="A6" s="27"/>
      <c r="B6" s="27" t="s">
        <v>21</v>
      </c>
      <c r="C6" s="28">
        <v>0.18</v>
      </c>
      <c r="D6" s="27"/>
      <c r="E6" s="22" t="s">
        <v>23</v>
      </c>
      <c r="F6" s="7">
        <v>0.18</v>
      </c>
      <c r="G6" s="23">
        <f>$G$5*F6</f>
        <v>90</v>
      </c>
      <c r="J6" s="22" t="s">
        <v>1</v>
      </c>
      <c r="K6" s="32">
        <f>$G$15</f>
        <v>45</v>
      </c>
      <c r="N6" s="27"/>
      <c r="O6" s="27"/>
    </row>
    <row r="7" spans="1:18" x14ac:dyDescent="0.3">
      <c r="A7" s="27"/>
      <c r="B7" s="27" t="s">
        <v>55</v>
      </c>
      <c r="C7" s="28">
        <v>0.04</v>
      </c>
      <c r="D7" s="27"/>
      <c r="E7" s="22" t="s">
        <v>24</v>
      </c>
      <c r="F7" s="7">
        <v>0.14000000000000001</v>
      </c>
      <c r="G7" s="23">
        <f>G5*F7</f>
        <v>70</v>
      </c>
      <c r="J7" s="22" t="s">
        <v>2</v>
      </c>
      <c r="K7" s="32">
        <f>$G$32</f>
        <v>0</v>
      </c>
      <c r="N7" s="22" t="s">
        <v>42</v>
      </c>
      <c r="O7" s="32">
        <f>G14</f>
        <v>250</v>
      </c>
      <c r="R7" s="2"/>
    </row>
    <row r="8" spans="1:18" x14ac:dyDescent="0.3">
      <c r="A8" s="27"/>
      <c r="B8" s="27" t="s">
        <v>54</v>
      </c>
      <c r="C8" s="28">
        <v>0.14000000000000001</v>
      </c>
      <c r="D8" s="27"/>
      <c r="E8" s="22" t="s">
        <v>51</v>
      </c>
      <c r="F8" s="9">
        <v>9.2499999999999999E-2</v>
      </c>
      <c r="G8" s="23">
        <f>(G5-G6-G7)*F8</f>
        <v>31.45</v>
      </c>
      <c r="J8" s="22" t="s">
        <v>20</v>
      </c>
      <c r="K8" s="32">
        <f>$K$5-$K$6-$K$7</f>
        <v>45</v>
      </c>
      <c r="N8" s="27"/>
      <c r="O8" s="27"/>
      <c r="R8" s="2"/>
    </row>
    <row r="9" spans="1:18" x14ac:dyDescent="0.3">
      <c r="A9" s="27"/>
      <c r="B9" s="27"/>
      <c r="C9" s="27"/>
      <c r="D9" s="27"/>
      <c r="E9" s="22" t="s">
        <v>50</v>
      </c>
      <c r="F9" s="24"/>
      <c r="G9" s="23">
        <f>SUM(G6:G8)</f>
        <v>191.45</v>
      </c>
      <c r="J9" s="22" t="s">
        <v>3</v>
      </c>
      <c r="K9" s="32">
        <f>G7</f>
        <v>70</v>
      </c>
      <c r="N9" s="22" t="s">
        <v>43</v>
      </c>
      <c r="O9" s="32">
        <f>K21</f>
        <v>121.590625</v>
      </c>
      <c r="P9" s="10"/>
      <c r="R9" s="2"/>
    </row>
    <row r="10" spans="1:18" x14ac:dyDescent="0.3">
      <c r="A10" s="27"/>
      <c r="B10" s="27" t="s">
        <v>56</v>
      </c>
      <c r="C10" s="28">
        <v>7.0000000000000007E-2</v>
      </c>
      <c r="D10" s="27"/>
      <c r="J10" s="27"/>
      <c r="K10" s="27"/>
      <c r="N10" s="27"/>
      <c r="O10" s="27"/>
    </row>
    <row r="11" spans="1:18" x14ac:dyDescent="0.3">
      <c r="A11" s="27"/>
      <c r="B11" s="27" t="s">
        <v>54</v>
      </c>
      <c r="C11" s="28">
        <v>0.11</v>
      </c>
      <c r="D11" s="27"/>
      <c r="E11" s="26" t="s">
        <v>4</v>
      </c>
      <c r="F11" s="13"/>
      <c r="G11" s="25">
        <f>G5-G9</f>
        <v>308.55</v>
      </c>
      <c r="J11" s="22" t="s">
        <v>34</v>
      </c>
      <c r="K11" s="32">
        <f>G8</f>
        <v>31.45</v>
      </c>
      <c r="N11" s="27"/>
      <c r="O11" s="27"/>
    </row>
    <row r="12" spans="1:18" x14ac:dyDescent="0.3">
      <c r="A12" s="27"/>
      <c r="B12" s="27"/>
      <c r="C12" s="27"/>
      <c r="D12" s="27"/>
      <c r="J12" s="22" t="s">
        <v>35</v>
      </c>
      <c r="K12" s="32">
        <f>G16</f>
        <v>18.962499999999999</v>
      </c>
      <c r="N12" s="22" t="s">
        <v>44</v>
      </c>
      <c r="O12" s="32">
        <f>$G$22</f>
        <v>63.75</v>
      </c>
    </row>
    <row r="13" spans="1:18" x14ac:dyDescent="0.3">
      <c r="A13" s="27"/>
      <c r="B13" s="27" t="s">
        <v>57</v>
      </c>
      <c r="C13" s="28">
        <v>0.12</v>
      </c>
      <c r="D13" s="27"/>
      <c r="J13" s="22" t="s">
        <v>36</v>
      </c>
      <c r="K13" s="32">
        <f>G31</f>
        <v>5.8968749999999996</v>
      </c>
      <c r="N13" s="27"/>
      <c r="O13" s="27"/>
    </row>
    <row r="14" spans="1:18" x14ac:dyDescent="0.3">
      <c r="A14" s="27"/>
      <c r="B14" s="27" t="s">
        <v>54</v>
      </c>
      <c r="C14" s="28">
        <v>0.06</v>
      </c>
      <c r="D14" s="27"/>
      <c r="E14" s="22" t="s">
        <v>52</v>
      </c>
      <c r="F14" s="24"/>
      <c r="G14" s="5">
        <v>250</v>
      </c>
      <c r="J14" s="22" t="s">
        <v>37</v>
      </c>
      <c r="K14" s="32">
        <f>K11-K12-K13</f>
        <v>6.5906250000000011</v>
      </c>
      <c r="N14" s="22" t="s">
        <v>25</v>
      </c>
      <c r="O14" s="32">
        <f>O5-O7-O9-O12</f>
        <v>64.659375000000011</v>
      </c>
    </row>
    <row r="15" spans="1:18" x14ac:dyDescent="0.3">
      <c r="A15" s="27"/>
      <c r="B15" s="27"/>
      <c r="C15" s="27"/>
      <c r="D15" s="27"/>
      <c r="E15" s="22" t="s">
        <v>6</v>
      </c>
      <c r="F15" s="7">
        <v>0.18</v>
      </c>
      <c r="G15" s="23">
        <f>$G$14*F15</f>
        <v>45</v>
      </c>
      <c r="J15" s="27"/>
      <c r="K15" s="27"/>
      <c r="N15" s="22" t="s">
        <v>26</v>
      </c>
      <c r="O15" s="24">
        <f>O14/O5</f>
        <v>0.12931875000000001</v>
      </c>
      <c r="P15" s="3"/>
      <c r="Q15" s="10"/>
    </row>
    <row r="16" spans="1:18" x14ac:dyDescent="0.3">
      <c r="A16" s="27"/>
      <c r="B16" s="27"/>
      <c r="C16" s="27"/>
      <c r="D16" s="27"/>
      <c r="E16" s="22" t="s">
        <v>8</v>
      </c>
      <c r="F16" s="9">
        <v>9.2499999999999999E-2</v>
      </c>
      <c r="G16" s="23">
        <f>(G14-G15)*F16</f>
        <v>18.962499999999999</v>
      </c>
      <c r="H16" s="29"/>
      <c r="J16" s="22" t="s">
        <v>38</v>
      </c>
      <c r="K16" s="32">
        <f>IF(K8&gt;0,K8+K14,K14)</f>
        <v>51.590625000000003</v>
      </c>
      <c r="N16" s="27"/>
      <c r="O16" s="27"/>
    </row>
    <row r="17" spans="1:15" x14ac:dyDescent="0.3">
      <c r="A17" s="27"/>
      <c r="B17" s="27"/>
      <c r="C17" s="27"/>
      <c r="D17" s="27"/>
      <c r="E17" s="22" t="s">
        <v>9</v>
      </c>
      <c r="F17" s="24"/>
      <c r="G17" s="23">
        <f>SUM(G15:G16)</f>
        <v>63.962499999999999</v>
      </c>
      <c r="J17" s="22" t="s">
        <v>39</v>
      </c>
      <c r="K17" s="32">
        <f>K9</f>
        <v>70</v>
      </c>
      <c r="N17" s="22" t="s">
        <v>48</v>
      </c>
      <c r="O17" s="32">
        <f>G40</f>
        <v>14.065625000000004</v>
      </c>
    </row>
    <row r="18" spans="1:15" x14ac:dyDescent="0.3">
      <c r="A18" s="27"/>
      <c r="B18" s="27"/>
      <c r="C18" s="27"/>
      <c r="D18" s="27"/>
      <c r="E18" s="22" t="s">
        <v>5</v>
      </c>
      <c r="F18" s="24"/>
      <c r="G18" s="23">
        <f>G14-G17</f>
        <v>186.03749999999999</v>
      </c>
      <c r="J18" s="27"/>
      <c r="K18" s="27"/>
      <c r="N18" s="22" t="s">
        <v>49</v>
      </c>
      <c r="O18" s="32">
        <f>G41</f>
        <v>5.0636250000000009</v>
      </c>
    </row>
    <row r="19" spans="1:15" x14ac:dyDescent="0.3">
      <c r="A19" s="27"/>
      <c r="B19" s="27"/>
      <c r="C19" s="27"/>
      <c r="D19" s="27"/>
      <c r="E19" s="12" t="s">
        <v>10</v>
      </c>
      <c r="F19" s="13"/>
      <c r="G19" s="14">
        <f>G11-G18</f>
        <v>122.51250000000002</v>
      </c>
      <c r="J19" s="23" t="s">
        <v>41</v>
      </c>
      <c r="K19" s="15">
        <v>1</v>
      </c>
      <c r="N19" s="27"/>
      <c r="O19" s="27"/>
    </row>
    <row r="20" spans="1:15" x14ac:dyDescent="0.3">
      <c r="A20" s="27"/>
      <c r="B20" s="27"/>
      <c r="C20" s="27"/>
      <c r="D20" s="27"/>
      <c r="J20" s="27"/>
      <c r="K20" s="27"/>
      <c r="N20" s="33" t="s">
        <v>46</v>
      </c>
      <c r="O20" s="34">
        <f>O18+O17+O9</f>
        <v>140.719875</v>
      </c>
    </row>
    <row r="21" spans="1:15" x14ac:dyDescent="0.3">
      <c r="A21" s="27"/>
      <c r="B21" s="27"/>
      <c r="C21" s="27"/>
      <c r="D21" s="27"/>
      <c r="J21" s="32" t="s">
        <v>40</v>
      </c>
      <c r="K21" s="32">
        <f>IF(K19=2,K16,K17+K16)</f>
        <v>121.590625</v>
      </c>
      <c r="N21" s="33" t="s">
        <v>47</v>
      </c>
      <c r="O21" s="35">
        <f>O20/O5</f>
        <v>0.28143974999999999</v>
      </c>
    </row>
    <row r="22" spans="1:15" x14ac:dyDescent="0.3">
      <c r="A22" s="27"/>
      <c r="B22" s="27"/>
      <c r="C22" s="27"/>
      <c r="D22" s="27"/>
      <c r="E22" s="26" t="s">
        <v>32</v>
      </c>
      <c r="F22" s="13"/>
      <c r="G22" s="25">
        <f>SUM(G25:G28)</f>
        <v>63.75</v>
      </c>
      <c r="J22" s="27"/>
      <c r="K22" s="27"/>
      <c r="N22" s="27"/>
      <c r="O22" s="27"/>
    </row>
    <row r="23" spans="1:15" x14ac:dyDescent="0.3">
      <c r="A23" s="27"/>
      <c r="B23" s="27"/>
      <c r="C23" s="27"/>
      <c r="D23" s="27"/>
      <c r="J23" s="27"/>
      <c r="K23" s="27"/>
      <c r="N23" s="27"/>
      <c r="O23" s="27"/>
    </row>
    <row r="24" spans="1:15" x14ac:dyDescent="0.3">
      <c r="A24" s="27"/>
      <c r="B24" s="27"/>
      <c r="C24" s="27"/>
      <c r="D24" s="27"/>
      <c r="E24" s="22" t="s">
        <v>60</v>
      </c>
      <c r="F24" s="24"/>
      <c r="G24" s="5"/>
      <c r="J24" s="27"/>
      <c r="K24" s="27"/>
      <c r="N24" s="27"/>
      <c r="O24" s="27"/>
    </row>
    <row r="25" spans="1:15" x14ac:dyDescent="0.3">
      <c r="A25" s="27"/>
      <c r="B25" s="27"/>
      <c r="C25" s="27"/>
      <c r="D25" s="27"/>
      <c r="E25" s="22" t="s">
        <v>58</v>
      </c>
      <c r="F25" s="7">
        <v>0.115</v>
      </c>
      <c r="G25" s="8">
        <f>(G5*F25)-G24</f>
        <v>57.5</v>
      </c>
      <c r="J25" s="27"/>
      <c r="K25" s="27"/>
      <c r="N25" s="33" t="s">
        <v>7</v>
      </c>
      <c r="O25" s="34">
        <f>O14-O17-O18</f>
        <v>45.530125000000005</v>
      </c>
    </row>
    <row r="26" spans="1:15" x14ac:dyDescent="0.3">
      <c r="A26" s="27"/>
      <c r="B26" s="27"/>
      <c r="C26" s="27"/>
      <c r="D26" s="27"/>
      <c r="E26" s="22" t="s">
        <v>59</v>
      </c>
      <c r="F26" s="24"/>
      <c r="G26" s="5">
        <v>6.25</v>
      </c>
      <c r="J26" s="27"/>
      <c r="K26" s="27"/>
      <c r="N26" s="33" t="s">
        <v>17</v>
      </c>
      <c r="O26" s="35">
        <f>O25/O5</f>
        <v>9.1060250000000009E-2</v>
      </c>
    </row>
    <row r="27" spans="1:15" x14ac:dyDescent="0.3">
      <c r="A27" s="27"/>
      <c r="B27" s="27"/>
      <c r="C27" s="27"/>
      <c r="D27" s="27"/>
      <c r="E27" s="22" t="s">
        <v>11</v>
      </c>
      <c r="F27" s="24"/>
      <c r="G27" s="5"/>
      <c r="J27" s="27"/>
      <c r="K27" s="27"/>
      <c r="N27" s="27"/>
      <c r="O27" s="27"/>
    </row>
    <row r="28" spans="1:15" x14ac:dyDescent="0.3">
      <c r="A28" s="27"/>
      <c r="B28" s="27"/>
      <c r="C28" s="27"/>
      <c r="D28" s="27"/>
      <c r="E28" s="22" t="s">
        <v>45</v>
      </c>
      <c r="F28" s="24"/>
      <c r="G28" s="5"/>
      <c r="J28" s="27"/>
      <c r="K28" s="27"/>
      <c r="N28" s="27"/>
      <c r="O28" s="27"/>
    </row>
    <row r="29" spans="1:15" x14ac:dyDescent="0.3">
      <c r="A29" s="27"/>
      <c r="B29" s="27"/>
      <c r="C29" s="27"/>
      <c r="D29" s="27"/>
      <c r="J29" s="27"/>
      <c r="K29" s="27"/>
      <c r="N29" s="27"/>
      <c r="O29" s="27"/>
    </row>
    <row r="30" spans="1:15" x14ac:dyDescent="0.3">
      <c r="A30" s="27"/>
      <c r="B30" s="27"/>
      <c r="C30" s="27"/>
      <c r="D30" s="27"/>
      <c r="J30" s="27"/>
      <c r="K30" s="27"/>
      <c r="L30" s="30"/>
      <c r="M30" s="30"/>
      <c r="N30" s="27"/>
      <c r="O30" s="27"/>
    </row>
    <row r="31" spans="1:15" x14ac:dyDescent="0.3">
      <c r="A31" s="27"/>
      <c r="B31" s="27"/>
      <c r="C31" s="27"/>
      <c r="D31" s="27"/>
      <c r="E31" s="22" t="s">
        <v>12</v>
      </c>
      <c r="F31" s="24">
        <v>9.2499999999999999E-2</v>
      </c>
      <c r="G31" s="23">
        <f>G22*F31</f>
        <v>5.8968749999999996</v>
      </c>
      <c r="J31" s="27"/>
      <c r="K31" s="27"/>
      <c r="M31" s="30"/>
      <c r="N31" s="27"/>
      <c r="O31" s="27"/>
    </row>
    <row r="32" spans="1:15" x14ac:dyDescent="0.3">
      <c r="A32" s="27"/>
      <c r="B32" s="27"/>
      <c r="C32" s="27"/>
      <c r="D32" s="27"/>
      <c r="E32" s="22" t="s">
        <v>13</v>
      </c>
      <c r="F32" s="24">
        <v>0.1</v>
      </c>
      <c r="G32" s="23">
        <f>G27*F32</f>
        <v>0</v>
      </c>
      <c r="J32" s="27"/>
      <c r="K32" s="27"/>
      <c r="M32" s="30"/>
      <c r="N32" s="27"/>
      <c r="O32" s="27"/>
    </row>
    <row r="33" spans="1:15" x14ac:dyDescent="0.3">
      <c r="A33" s="27"/>
      <c r="B33" s="27"/>
      <c r="C33" s="27"/>
      <c r="D33" s="27"/>
      <c r="J33" s="27"/>
      <c r="K33" s="27"/>
      <c r="M33" s="29"/>
      <c r="N33" s="27"/>
      <c r="O33" s="27"/>
    </row>
    <row r="34" spans="1:15" x14ac:dyDescent="0.3">
      <c r="A34" s="27"/>
      <c r="B34" s="27"/>
      <c r="C34" s="27"/>
      <c r="D34" s="27"/>
      <c r="J34" s="27"/>
      <c r="K34" s="27"/>
      <c r="N34" s="27"/>
      <c r="O34" s="27"/>
    </row>
    <row r="35" spans="1:15" x14ac:dyDescent="0.3">
      <c r="A35" s="27"/>
      <c r="B35" s="27"/>
      <c r="C35" s="27"/>
      <c r="D35" s="27"/>
      <c r="E35" s="12" t="s">
        <v>14</v>
      </c>
      <c r="F35" s="13"/>
      <c r="G35" s="14">
        <f>G19-G22</f>
        <v>58.762500000000017</v>
      </c>
      <c r="J35" s="27"/>
      <c r="K35" s="27"/>
      <c r="M35" s="29"/>
      <c r="N35" s="27"/>
      <c r="O35" s="27"/>
    </row>
    <row r="36" spans="1:15" x14ac:dyDescent="0.3">
      <c r="A36" s="27"/>
      <c r="B36" s="27"/>
      <c r="C36" s="27"/>
      <c r="D36" s="27"/>
      <c r="E36" s="1" t="s">
        <v>27</v>
      </c>
      <c r="F36" s="16">
        <v>5.0000000000000001E-3</v>
      </c>
      <c r="G36" s="2">
        <f>G5*F36</f>
        <v>2.5</v>
      </c>
      <c r="J36" s="27"/>
      <c r="K36" s="27"/>
      <c r="N36" s="27"/>
      <c r="O36" s="27"/>
    </row>
    <row r="37" spans="1:15" x14ac:dyDescent="0.3">
      <c r="A37" s="27"/>
      <c r="B37" s="27"/>
      <c r="C37" s="27"/>
      <c r="D37" s="27"/>
      <c r="J37" s="27"/>
      <c r="K37" s="27"/>
      <c r="N37" s="27"/>
      <c r="O37" s="27"/>
    </row>
    <row r="38" spans="1:15" x14ac:dyDescent="0.3">
      <c r="A38" s="27"/>
      <c r="B38" s="27"/>
      <c r="C38" s="27"/>
      <c r="D38" s="27"/>
      <c r="J38" s="27"/>
      <c r="K38" s="27"/>
      <c r="N38" s="27"/>
      <c r="O38" s="27"/>
    </row>
    <row r="39" spans="1:15" x14ac:dyDescent="0.3">
      <c r="A39" s="27"/>
      <c r="B39" s="27"/>
      <c r="C39" s="27"/>
      <c r="D39" s="27"/>
      <c r="E39" s="12" t="s">
        <v>28</v>
      </c>
      <c r="F39" s="13"/>
      <c r="G39" s="14">
        <f>G35-G36</f>
        <v>56.262500000000017</v>
      </c>
      <c r="J39" s="27"/>
      <c r="K39" s="27"/>
      <c r="N39" s="27"/>
      <c r="O39" s="27"/>
    </row>
    <row r="40" spans="1:15" x14ac:dyDescent="0.3">
      <c r="A40" s="27"/>
      <c r="B40" s="27"/>
      <c r="C40" s="27"/>
      <c r="D40" s="27"/>
      <c r="E40" s="6" t="s">
        <v>29</v>
      </c>
      <c r="F40" s="9">
        <v>0.25</v>
      </c>
      <c r="G40" s="8">
        <f>G39*F40</f>
        <v>14.065625000000004</v>
      </c>
      <c r="J40" s="27"/>
      <c r="K40" s="27"/>
      <c r="N40" s="27"/>
      <c r="O40" s="27"/>
    </row>
    <row r="41" spans="1:15" x14ac:dyDescent="0.3">
      <c r="A41" s="27"/>
      <c r="B41" s="27"/>
      <c r="C41" s="27"/>
      <c r="D41" s="27"/>
      <c r="E41" s="6" t="s">
        <v>30</v>
      </c>
      <c r="F41" s="9">
        <v>0.09</v>
      </c>
      <c r="G41" s="8">
        <f>G39*F41</f>
        <v>5.0636250000000009</v>
      </c>
      <c r="J41" s="27"/>
      <c r="K41" s="27"/>
      <c r="N41" s="27"/>
      <c r="O41" s="27"/>
    </row>
    <row r="42" spans="1:15" x14ac:dyDescent="0.3">
      <c r="A42" s="27"/>
      <c r="B42" s="27"/>
      <c r="C42" s="27"/>
      <c r="D42" s="27"/>
      <c r="J42" s="27"/>
      <c r="K42" s="27"/>
      <c r="N42" s="27"/>
      <c r="O42" s="27"/>
    </row>
    <row r="43" spans="1:15" x14ac:dyDescent="0.3">
      <c r="A43" s="27"/>
      <c r="B43" s="27"/>
      <c r="C43" s="27"/>
      <c r="D43" s="27"/>
      <c r="J43" s="27"/>
      <c r="K43" s="27"/>
      <c r="N43" s="27"/>
      <c r="O43" s="27"/>
    </row>
    <row r="44" spans="1:15" x14ac:dyDescent="0.3">
      <c r="A44" s="27"/>
      <c r="B44" s="27"/>
      <c r="C44" s="27"/>
      <c r="D44" s="27"/>
      <c r="E44" s="1" t="s">
        <v>31</v>
      </c>
      <c r="F44" s="17"/>
      <c r="G44" s="18">
        <f>G40+G41</f>
        <v>19.129250000000006</v>
      </c>
      <c r="J44" s="27"/>
      <c r="K44" s="27"/>
      <c r="N44" s="27"/>
      <c r="O44" s="27"/>
    </row>
    <row r="45" spans="1:15" x14ac:dyDescent="0.3">
      <c r="A45" s="27"/>
      <c r="B45" s="27"/>
      <c r="C45" s="27"/>
      <c r="D45" s="27"/>
      <c r="F45" s="17"/>
      <c r="G45" s="19"/>
      <c r="J45" s="27"/>
      <c r="K45" s="27"/>
      <c r="N45" s="27"/>
      <c r="O45" s="27"/>
    </row>
    <row r="46" spans="1:15" x14ac:dyDescent="0.3">
      <c r="A46" s="27"/>
      <c r="B46" s="27"/>
      <c r="C46" s="27"/>
      <c r="D46" s="27"/>
      <c r="J46" s="27"/>
      <c r="K46" s="27"/>
      <c r="N46" s="27"/>
      <c r="O46" s="27"/>
    </row>
    <row r="47" spans="1:15" x14ac:dyDescent="0.3">
      <c r="A47" s="27"/>
      <c r="B47" s="27"/>
      <c r="C47" s="27"/>
      <c r="D47" s="27"/>
      <c r="E47" s="12" t="s">
        <v>15</v>
      </c>
      <c r="F47" s="13"/>
      <c r="G47" s="14">
        <f>G39-G44</f>
        <v>37.133250000000011</v>
      </c>
      <c r="J47" s="27"/>
      <c r="K47" s="27"/>
      <c r="N47" s="27"/>
      <c r="O47" s="27"/>
    </row>
    <row r="48" spans="1:15" x14ac:dyDescent="0.3">
      <c r="A48" s="27"/>
      <c r="B48" s="27"/>
      <c r="C48" s="27"/>
      <c r="D48" s="27"/>
      <c r="E48" s="12" t="s">
        <v>16</v>
      </c>
      <c r="G48" s="13">
        <f>G47/G5</f>
        <v>7.4266500000000027E-2</v>
      </c>
      <c r="J48" s="27"/>
      <c r="K48" s="27"/>
      <c r="N48" s="27"/>
      <c r="O48" s="27"/>
    </row>
    <row r="49" spans="1:15" x14ac:dyDescent="0.3">
      <c r="A49" s="27"/>
      <c r="B49" s="27"/>
      <c r="C49" s="27"/>
      <c r="D49" s="27"/>
      <c r="J49" s="27"/>
      <c r="K49" s="27"/>
      <c r="N49" s="27"/>
      <c r="O49" s="27"/>
    </row>
    <row r="50" spans="1:15" x14ac:dyDescent="0.3">
      <c r="A50" s="27"/>
      <c r="B50" s="27"/>
      <c r="C50" s="27"/>
      <c r="D50" s="27"/>
      <c r="J50" s="27"/>
      <c r="K50" s="27"/>
      <c r="N50" s="27"/>
      <c r="O50" s="27"/>
    </row>
    <row r="51" spans="1:15" x14ac:dyDescent="0.3">
      <c r="A51" s="27"/>
      <c r="B51" s="27"/>
      <c r="C51" s="27"/>
      <c r="D51" s="27"/>
      <c r="J51" s="27"/>
      <c r="K51" s="27"/>
      <c r="N51" s="27"/>
      <c r="O51" s="27"/>
    </row>
  </sheetData>
  <sheetProtection algorithmName="SHA-512" hashValue="DzbhKZT1lNlW+BhB7JAqnYO2efM7wPahGAPy7i1Rwy70xQ405sOwsZUFqvXU3tLZCuF6xOmGGo9zTG028Cc6pA==" saltValue="sgpMGxQFVPj0oLZ8QLT98w==" spinCount="100000" sheet="1" objects="1" scenarios="1"/>
  <mergeCells count="4">
    <mergeCell ref="N2:O2"/>
    <mergeCell ref="E2:G2"/>
    <mergeCell ref="J2:K2"/>
    <mergeCell ref="E5:F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Lucro 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Lopes Correa</dc:creator>
  <cp:lastModifiedBy>Rafael Lopes Correa</cp:lastModifiedBy>
  <dcterms:created xsi:type="dcterms:W3CDTF">2025-06-25T18:49:00Z</dcterms:created>
  <dcterms:modified xsi:type="dcterms:W3CDTF">2025-10-01T17:30:00Z</dcterms:modified>
</cp:coreProperties>
</file>